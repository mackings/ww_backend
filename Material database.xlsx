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BC0E0A96-304B-4F6E-8C66-67C7786D98B9}" xr6:coauthVersionLast="47" xr6:coauthVersionMax="47" xr10:uidLastSave="{00000000-0000-0000-0000-000000000000}"/>
  <bookViews>
    <workbookView xWindow="-110" yWindow="-110" windowWidth="19420" windowHeight="10300" xr2:uid="{461033EE-9033-486E-BF2C-39A77D591AD6}"/>
  </bookViews>
  <sheets>
    <sheet name="Database" sheetId="1" r:id="rId1"/>
  </sheets>
  <externalReferences>
    <externalReference r:id="rId2"/>
  </externalReferences>
  <definedNames>
    <definedName name="Adhensive">Table14[Adhensive]</definedName>
    <definedName name="Angle_bracket">Table13[Angle_bracket]</definedName>
    <definedName name="board">Table2[Board]</definedName>
    <definedName name="Cabinet_hinges">Table12[Cabinet_hinges]</definedName>
    <definedName name="Castor">Table11[Castor]</definedName>
    <definedName name="cat">Table23[Category]</definedName>
    <definedName name="Chrome">Table20[Chrome]</definedName>
    <definedName name="Cushion">Table3[Foam]</definedName>
    <definedName name="desc">Table26[Product/Service]</definedName>
    <definedName name="Door_Hinges">Table22[Door_Hinges]</definedName>
    <definedName name="Drawer_Runner">Table6[Drawer_Runner]</definedName>
    <definedName name="Edge_tape">Table7[Edge_tape]</definedName>
    <definedName name="Fabric">Table10[Fabric]</definedName>
    <definedName name="Handle">Table5[Handle]</definedName>
    <definedName name="Hook">Table18[Hook]</definedName>
    <definedName name="Lightening">Table16[Lightening]</definedName>
    <definedName name="logistics">Table31[Logistics]</definedName>
    <definedName name="mat_dd">#REF!</definedName>
    <definedName name="Nail">Table8[Nail]</definedName>
    <definedName name="name">[1]!Cust_tbl[Client name]</definedName>
    <definedName name="other_cost">Table29[Other Costs]</definedName>
    <definedName name="Others">Table21[Others]</definedName>
    <definedName name="Paint">Table17[Paint]</definedName>
    <definedName name="Pin">Table15[Pin]</definedName>
    <definedName name="Pole">Table19[Pole]</definedName>
    <definedName name="Screw">Table9[Screw]</definedName>
    <definedName name="type_dd">#REF!</definedName>
    <definedName name="wood">Table4[Wood]</definedName>
    <definedName name="Workmanship">Table30[Workmanship]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6" i="1" l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AX68" i="1"/>
  <c r="B68" i="1"/>
  <c r="AX67" i="1"/>
  <c r="B67" i="1"/>
  <c r="AX66" i="1"/>
  <c r="B66" i="1"/>
  <c r="AX65" i="1"/>
  <c r="B65" i="1"/>
  <c r="AX64" i="1"/>
  <c r="B64" i="1"/>
  <c r="AX63" i="1"/>
  <c r="B63" i="1"/>
  <c r="AX62" i="1"/>
  <c r="B62" i="1"/>
  <c r="AX61" i="1"/>
  <c r="B61" i="1"/>
  <c r="AX60" i="1"/>
  <c r="B60" i="1"/>
  <c r="AX59" i="1"/>
  <c r="B59" i="1"/>
  <c r="AX58" i="1"/>
  <c r="B58" i="1"/>
  <c r="AX57" i="1"/>
  <c r="B57" i="1"/>
  <c r="AX56" i="1"/>
  <c r="B56" i="1"/>
  <c r="AX55" i="1"/>
  <c r="B55" i="1"/>
  <c r="AX54" i="1"/>
  <c r="B54" i="1"/>
  <c r="AX53" i="1"/>
  <c r="B53" i="1"/>
  <c r="AX52" i="1"/>
  <c r="B52" i="1"/>
  <c r="AX51" i="1"/>
  <c r="B51" i="1"/>
  <c r="AX50" i="1"/>
  <c r="B50" i="1"/>
  <c r="AX49" i="1"/>
  <c r="B49" i="1"/>
  <c r="AX48" i="1"/>
  <c r="B48" i="1"/>
  <c r="AX47" i="1"/>
  <c r="B47" i="1"/>
  <c r="AX46" i="1"/>
  <c r="B46" i="1"/>
  <c r="AX45" i="1"/>
  <c r="B45" i="1"/>
  <c r="AX44" i="1"/>
  <c r="B44" i="1"/>
  <c r="AX43" i="1"/>
  <c r="B43" i="1"/>
  <c r="AX42" i="1"/>
  <c r="B42" i="1"/>
  <c r="AX41" i="1"/>
  <c r="B41" i="1"/>
  <c r="AX40" i="1"/>
  <c r="B40" i="1"/>
  <c r="AX39" i="1"/>
  <c r="B39" i="1"/>
  <c r="AX38" i="1"/>
  <c r="B38" i="1"/>
  <c r="AX37" i="1"/>
  <c r="B37" i="1"/>
  <c r="AX36" i="1"/>
  <c r="B36" i="1"/>
  <c r="AX35" i="1"/>
  <c r="B35" i="1"/>
  <c r="AX34" i="1"/>
  <c r="B34" i="1"/>
  <c r="AX33" i="1"/>
  <c r="B33" i="1"/>
  <c r="AX32" i="1"/>
  <c r="B32" i="1"/>
  <c r="AX31" i="1"/>
  <c r="B31" i="1"/>
  <c r="AX30" i="1"/>
  <c r="B30" i="1"/>
  <c r="AX29" i="1"/>
  <c r="B29" i="1"/>
  <c r="AX28" i="1"/>
  <c r="B28" i="1"/>
  <c r="AX27" i="1"/>
  <c r="B27" i="1"/>
  <c r="AX26" i="1"/>
  <c r="B26" i="1"/>
  <c r="AX25" i="1"/>
  <c r="B25" i="1"/>
  <c r="AX24" i="1"/>
  <c r="B24" i="1"/>
  <c r="AX23" i="1"/>
  <c r="B23" i="1"/>
  <c r="AX22" i="1"/>
  <c r="B22" i="1"/>
  <c r="AX21" i="1"/>
  <c r="B21" i="1"/>
  <c r="AX20" i="1"/>
  <c r="B20" i="1"/>
  <c r="AX19" i="1"/>
  <c r="B19" i="1"/>
  <c r="AX18" i="1"/>
  <c r="B18" i="1"/>
  <c r="AX17" i="1"/>
  <c r="B17" i="1"/>
  <c r="AX16" i="1"/>
  <c r="B16" i="1"/>
  <c r="AX15" i="1"/>
  <c r="B15" i="1"/>
  <c r="AX14" i="1"/>
  <c r="B14" i="1"/>
  <c r="AX13" i="1"/>
  <c r="B13" i="1"/>
  <c r="AY12" i="1"/>
  <c r="AX12" i="1"/>
  <c r="B12" i="1"/>
  <c r="AX11" i="1"/>
  <c r="B11" i="1"/>
  <c r="AX10" i="1"/>
  <c r="B10" i="1"/>
  <c r="AX9" i="1"/>
  <c r="B9" i="1"/>
  <c r="AX8" i="1"/>
  <c r="B8" i="1"/>
  <c r="AX7" i="1"/>
  <c r="B7" i="1"/>
  <c r="AX6" i="1"/>
  <c r="B6" i="1"/>
  <c r="AX5" i="1"/>
  <c r="B5" i="1"/>
  <c r="AY4" i="1"/>
  <c r="AX4" i="1"/>
  <c r="B4" i="1"/>
  <c r="AX3" i="1"/>
  <c r="B3" i="1"/>
  <c r="AY62" i="1" s="1"/>
  <c r="AX2" i="1"/>
  <c r="AY29" i="1" l="1"/>
  <c r="AY9" i="1"/>
  <c r="AY17" i="1"/>
  <c r="AY25" i="1"/>
  <c r="AY33" i="1"/>
  <c r="AY41" i="1"/>
  <c r="AY49" i="1"/>
  <c r="AY57" i="1"/>
  <c r="AY65" i="1"/>
  <c r="AY20" i="1"/>
  <c r="AY52" i="1"/>
  <c r="AY60" i="1"/>
  <c r="AY68" i="1"/>
  <c r="AY36" i="1"/>
  <c r="AY44" i="1"/>
  <c r="AY15" i="1"/>
  <c r="AY23" i="1"/>
  <c r="AY31" i="1"/>
  <c r="AY39" i="1"/>
  <c r="AY47" i="1"/>
  <c r="AY55" i="1"/>
  <c r="AY63" i="1"/>
  <c r="AY28" i="1"/>
  <c r="AY7" i="1"/>
  <c r="AY2" i="1"/>
  <c r="AY10" i="1"/>
  <c r="AY18" i="1"/>
  <c r="AY26" i="1"/>
  <c r="AY34" i="1"/>
  <c r="AY42" i="1"/>
  <c r="AY50" i="1"/>
  <c r="AY58" i="1"/>
  <c r="AY66" i="1"/>
  <c r="AY13" i="1"/>
  <c r="AY21" i="1"/>
  <c r="AY53" i="1"/>
  <c r="AY8" i="1"/>
  <c r="AY16" i="1"/>
  <c r="AY24" i="1"/>
  <c r="AY32" i="1"/>
  <c r="AY40" i="1"/>
  <c r="AY48" i="1"/>
  <c r="AY56" i="1"/>
  <c r="AY64" i="1"/>
  <c r="AY37" i="1"/>
  <c r="AY61" i="1"/>
  <c r="AY3" i="1"/>
  <c r="AY11" i="1"/>
  <c r="AY19" i="1"/>
  <c r="AY27" i="1"/>
  <c r="AY35" i="1"/>
  <c r="AY43" i="1"/>
  <c r="AY51" i="1"/>
  <c r="AY59" i="1"/>
  <c r="AY67" i="1"/>
  <c r="AY5" i="1"/>
  <c r="AY45" i="1"/>
  <c r="AY6" i="1"/>
  <c r="AY14" i="1"/>
  <c r="AY22" i="1"/>
  <c r="AY30" i="1"/>
  <c r="AY38" i="1"/>
  <c r="AY46" i="1"/>
  <c r="AY54" i="1"/>
</calcChain>
</file>

<file path=xl/sharedStrings.xml><?xml version="1.0" encoding="utf-8"?>
<sst xmlns="http://schemas.openxmlformats.org/spreadsheetml/2006/main" count="1617" uniqueCount="483">
  <si>
    <t>Board</t>
  </si>
  <si>
    <t>Foam</t>
  </si>
  <si>
    <t>Wood</t>
  </si>
  <si>
    <t>Handle</t>
  </si>
  <si>
    <t>Drawer_Runner</t>
  </si>
  <si>
    <t>Edge_tape</t>
  </si>
  <si>
    <t>Nail</t>
  </si>
  <si>
    <t>Screw</t>
  </si>
  <si>
    <t>Fabric</t>
  </si>
  <si>
    <t>Castor</t>
  </si>
  <si>
    <t>Cabinet_hinges</t>
  </si>
  <si>
    <t>Angle_bracket</t>
  </si>
  <si>
    <t>Adhensive</t>
  </si>
  <si>
    <t>Pin</t>
  </si>
  <si>
    <t>Lightening</t>
  </si>
  <si>
    <t>Material</t>
  </si>
  <si>
    <t>Length</t>
  </si>
  <si>
    <t>Breadth</t>
  </si>
  <si>
    <t>Sqm</t>
  </si>
  <si>
    <t>Price per sqm</t>
  </si>
  <si>
    <t>Column1</t>
  </si>
  <si>
    <t>Category</t>
  </si>
  <si>
    <t>Sub_category</t>
  </si>
  <si>
    <t>Size</t>
  </si>
  <si>
    <t>Unit</t>
  </si>
  <si>
    <t>Color</t>
  </si>
  <si>
    <t>Prices</t>
  </si>
  <si>
    <t>Board_Particle_0.25"_Piece</t>
  </si>
  <si>
    <t>Cushion_Blue_0.5"_Piece</t>
  </si>
  <si>
    <t>Wood_Melina_1"x10"x144"_Piece</t>
  </si>
  <si>
    <t>Handle_knob_Piece</t>
  </si>
  <si>
    <t>Drawer_Runner_hydraulic_10"_Pair</t>
  </si>
  <si>
    <t>Edge_tape_matte_Yard_Black Wenge</t>
  </si>
  <si>
    <t>Nail_Airgun_0.5"_Pound weight</t>
  </si>
  <si>
    <t>Screw_Black_0.25"_Pack</t>
  </si>
  <si>
    <t>Fabric_Korean Leather_Yard</t>
  </si>
  <si>
    <t>Castor_Pencil_2"_Set_Gold</t>
  </si>
  <si>
    <t>Cabinet_hinges_Hydraulic_Pair</t>
  </si>
  <si>
    <t>Angle_bracket_Aluminium_8"_Piece</t>
  </si>
  <si>
    <t>Adhensive_Gum_3kg_Piece</t>
  </si>
  <si>
    <t>Pin_Panel_1"_Pack</t>
  </si>
  <si>
    <t>Lightening_Dotted strip_Yard_Warm white</t>
  </si>
  <si>
    <t>Product/Service</t>
  </si>
  <si>
    <t>Sofa</t>
  </si>
  <si>
    <t>Bedframe</t>
  </si>
  <si>
    <t>Other Costs</t>
  </si>
  <si>
    <t>Workmanship</t>
  </si>
  <si>
    <t>Logistics</t>
  </si>
  <si>
    <t>knob</t>
  </si>
  <si>
    <t>Piece</t>
  </si>
  <si>
    <t>Board_Particle_0.5"_Piece</t>
  </si>
  <si>
    <t>Cushion_Blue_1"_Piece</t>
  </si>
  <si>
    <t>Wood_Iroko_1"x10"x144"_Piece</t>
  </si>
  <si>
    <t>Handle_pipe_6"_Piece_Gold</t>
  </si>
  <si>
    <t>Drawer_Runner_hydraulic_12"_Pair</t>
  </si>
  <si>
    <t>Edge_tape_matte_ Roll_Black</t>
  </si>
  <si>
    <t>Nail_Airgun_1"_Pound weight</t>
  </si>
  <si>
    <t>Screw_Black_0.5"_Pack</t>
  </si>
  <si>
    <t>Fabric_Suede leather_Yard</t>
  </si>
  <si>
    <t>Castor_Pencil_3"_Set_Gold</t>
  </si>
  <si>
    <t>Cabinet_hinges_ Ordinary_Pair</t>
  </si>
  <si>
    <t>Angle_bracket_Iron_Pack</t>
  </si>
  <si>
    <t>Adhensive_Gum_15kg_Piece</t>
  </si>
  <si>
    <t>Pin_Panel_2"_Pack</t>
  </si>
  <si>
    <t>Lightening_Choke_Piece</t>
  </si>
  <si>
    <t>Full set</t>
  </si>
  <si>
    <t>4.5x6 upholtered</t>
  </si>
  <si>
    <t>Welder</t>
  </si>
  <si>
    <t>Delivery to site/Customer Home</t>
  </si>
  <si>
    <t>pipe</t>
  </si>
  <si>
    <t>6"</t>
  </si>
  <si>
    <t>Gold</t>
  </si>
  <si>
    <t>Board_Particle_0.75"_Piece</t>
  </si>
  <si>
    <t>Cushion_Blue_1.5"_Piece</t>
  </si>
  <si>
    <t>Handle_line_Piece</t>
  </si>
  <si>
    <t>Drawer_Runner_hydraulic_14"_Pair</t>
  </si>
  <si>
    <t>Edge_tape_ gloss_Yard_Offwhite</t>
  </si>
  <si>
    <t>Nail_Airgun_1.5"_Pound weight</t>
  </si>
  <si>
    <t>Screw_Black_0.75"_Pack</t>
  </si>
  <si>
    <t>Fabric_Cloth Leather_Yard</t>
  </si>
  <si>
    <t>Castor_Pencil_4"_Set_Gold</t>
  </si>
  <si>
    <t>Cabinet_hinges_ Absorber_Pair</t>
  </si>
  <si>
    <t>Angle_bracket_Plastic_Pack</t>
  </si>
  <si>
    <t>Adhensive_Top Bond_Piece</t>
  </si>
  <si>
    <t>Pin_Panel_3"_Pack</t>
  </si>
  <si>
    <t>Lightening_Dotted strip_Roll</t>
  </si>
  <si>
    <t>3 seater</t>
  </si>
  <si>
    <t>4.5x6 board</t>
  </si>
  <si>
    <t>Electrician</t>
  </si>
  <si>
    <t>Assemble fee</t>
  </si>
  <si>
    <t>line</t>
  </si>
  <si>
    <t>Board_Particle_1"_Piece</t>
  </si>
  <si>
    <t>Cushion_Blue_2"_Piece</t>
  </si>
  <si>
    <t>Handle_pipe_6"_Piece_Silver</t>
  </si>
  <si>
    <t>Drawer_Runner_hydraulic_16"_Pair</t>
  </si>
  <si>
    <t>Edge_tape_ gloss_ Roll_Offwhite</t>
  </si>
  <si>
    <t>Nail_Airgun_2"_Pound weight</t>
  </si>
  <si>
    <t>Screw_Black_1"_Pack</t>
  </si>
  <si>
    <t>Fabric_Animal Skin_Square meter</t>
  </si>
  <si>
    <t>Castor_Pencil_5"_Set_Gold</t>
  </si>
  <si>
    <t>Adhensive_China glue_Piece</t>
  </si>
  <si>
    <t>Pin_Stapler_Pack</t>
  </si>
  <si>
    <t>Lightening_Running _Pack</t>
  </si>
  <si>
    <t>Bedframe Set</t>
  </si>
  <si>
    <t>2 seater</t>
  </si>
  <si>
    <t>6x6 upholstered</t>
  </si>
  <si>
    <t>Tiler</t>
  </si>
  <si>
    <t>hydraulic</t>
  </si>
  <si>
    <t>10"</t>
  </si>
  <si>
    <t>Pair</t>
  </si>
  <si>
    <t>Board_Nigerian Plywood_0.25"_Piece</t>
  </si>
  <si>
    <t>Cushion_Blue_2.5"_Piece</t>
  </si>
  <si>
    <t>Drawer_Runner_ ordinary_10"_Pair</t>
  </si>
  <si>
    <t>Edge_tape_gloss_Yard_Gold</t>
  </si>
  <si>
    <t>Nail_Airgun_2.5"_Pound weight</t>
  </si>
  <si>
    <t>Screw_Black_1.25"_Pack</t>
  </si>
  <si>
    <t>Fabric_Velvet_Yard</t>
  </si>
  <si>
    <t>Castor_Pencil_6"_Set_Gold</t>
  </si>
  <si>
    <t>Adhensive_Silicon_Piece</t>
  </si>
  <si>
    <t>Pin_Gold sofa_Pack</t>
  </si>
  <si>
    <t>Bedside Drawer</t>
  </si>
  <si>
    <t>Loveseater</t>
  </si>
  <si>
    <t>6x6 board</t>
  </si>
  <si>
    <t>Painter</t>
  </si>
  <si>
    <t>12"</t>
  </si>
  <si>
    <t>Board_Nigerian Plywood_0.5"_Piece</t>
  </si>
  <si>
    <t>Cushion_Blue_3"_Piece</t>
  </si>
  <si>
    <t>Drawer_Runner_ ordinary_12"_Pair</t>
  </si>
  <si>
    <t>Screw_Black_1.5"_Pack</t>
  </si>
  <si>
    <t>Fabric_Semi Skin_Yard</t>
  </si>
  <si>
    <t>Castor_Pencil_7"_Set_Gold</t>
  </si>
  <si>
    <t>Pin_Silver sofa_Pack</t>
  </si>
  <si>
    <t>Installation</t>
  </si>
  <si>
    <t>Arm chair</t>
  </si>
  <si>
    <t>6x7 upholstered</t>
  </si>
  <si>
    <t>Pop Installer</t>
  </si>
  <si>
    <t>14"</t>
  </si>
  <si>
    <t>Board_Nigerian Plywood_0.75"_Piece</t>
  </si>
  <si>
    <t>Cushion_Blue_3.5"_Piece</t>
  </si>
  <si>
    <t>Drawer_Runner_ ordinary_14"_Pair</t>
  </si>
  <si>
    <t>Nail_ Hammer_0.5"_ bag</t>
  </si>
  <si>
    <t>Screw_Black_2"_Pack</t>
  </si>
  <si>
    <t>Fabric_Matte_Yard</t>
  </si>
  <si>
    <t>Castor_Pencil_8"_Set_Gold</t>
  </si>
  <si>
    <t>Pin_Stud Plastic_Pack</t>
  </si>
  <si>
    <t>Kitchen cabinet</t>
  </si>
  <si>
    <t>Single seater</t>
  </si>
  <si>
    <t>6x7 board</t>
  </si>
  <si>
    <t>Plumber</t>
  </si>
  <si>
    <t>16"</t>
  </si>
  <si>
    <t>Board_Foreign Plywood_0.25"_Piece</t>
  </si>
  <si>
    <t>Cushion_Blue_4"_Piece</t>
  </si>
  <si>
    <t>Drawer_Runner_ ordinary_16"_Pair</t>
  </si>
  <si>
    <t>Nail_ Hammer_1"_ bag</t>
  </si>
  <si>
    <t>Fabric_Semi boucle_Yard</t>
  </si>
  <si>
    <t>Castor_Pencil_9"_Set_Gold</t>
  </si>
  <si>
    <t>Tv Console</t>
  </si>
  <si>
    <t>Ottoman</t>
  </si>
  <si>
    <t>3.5x6 upholstered</t>
  </si>
  <si>
    <t>Capenter</t>
  </si>
  <si>
    <t xml:space="preserve"> ordinary</t>
  </si>
  <si>
    <t>Board_Foreign Plywood_0.5"_Piece</t>
  </si>
  <si>
    <t>Cushion_Blue_4.5"_Piece</t>
  </si>
  <si>
    <t>Nail_ Hammer_1.5"_ bag</t>
  </si>
  <si>
    <t>Fabric_Boucle Fabric_Yard</t>
  </si>
  <si>
    <t>Castor_Pencil_10"_Set_Gold</t>
  </si>
  <si>
    <t>Paint</t>
  </si>
  <si>
    <t>Hook</t>
  </si>
  <si>
    <t>Pole</t>
  </si>
  <si>
    <t>Chrome</t>
  </si>
  <si>
    <t>Others</t>
  </si>
  <si>
    <t>Door_Hinges</t>
  </si>
  <si>
    <t>Center table</t>
  </si>
  <si>
    <t>3.5x6 board</t>
  </si>
  <si>
    <t>Upholsterer</t>
  </si>
  <si>
    <t>Board_Foreign Plywood_0.75"_Piece</t>
  </si>
  <si>
    <t>Cushion_Blue_5"_Piece</t>
  </si>
  <si>
    <t>Nail_ Hammer_2"_ bag</t>
  </si>
  <si>
    <t>Fabric_Thick Velvet_Yard_chocolate brown</t>
  </si>
  <si>
    <t>Castor_Pencil_11"_Set_Gold</t>
  </si>
  <si>
    <t>Paint_Auto cray_Piece</t>
  </si>
  <si>
    <t>Hook_Panel_Pack</t>
  </si>
  <si>
    <t>Pole_Round_16mm_Piece</t>
  </si>
  <si>
    <t>Chrome_Silver_Piece</t>
  </si>
  <si>
    <t>Others_Sand_Paper_Yard</t>
  </si>
  <si>
    <t>Door_Hinges_Pair_Gold</t>
  </si>
  <si>
    <t>Dinning set</t>
  </si>
  <si>
    <t>2.5x6 upholstered</t>
  </si>
  <si>
    <t>Spray man</t>
  </si>
  <si>
    <t>Board_Mdf ordinay_Piece</t>
  </si>
  <si>
    <t>Cushion_Blue_5.5"_Piece</t>
  </si>
  <si>
    <t>Nail_ Hammer_2.5"_ bag</t>
  </si>
  <si>
    <t>Fabric_Baft_Yard_Offwhite</t>
  </si>
  <si>
    <t>Castor_Pencil_12"_Set_Gold</t>
  </si>
  <si>
    <t>Paint_Auto base_Piece</t>
  </si>
  <si>
    <t>Hook_Bed_Set</t>
  </si>
  <si>
    <t>Pole_Flat_Piece</t>
  </si>
  <si>
    <t>Chrome_Black_Piece</t>
  </si>
  <si>
    <t>Others_Carton_Piece</t>
  </si>
  <si>
    <t>Door_Hinges_Pair_Black</t>
  </si>
  <si>
    <t>Dinning chair</t>
  </si>
  <si>
    <t>2.5x6 board</t>
  </si>
  <si>
    <t>Wood worker</t>
  </si>
  <si>
    <t>Board_Hdf ordinary_Piece</t>
  </si>
  <si>
    <t>Cushion_Blue_6"_Piece</t>
  </si>
  <si>
    <t>Nail_ Hammer_3"_ bag</t>
  </si>
  <si>
    <t>Fabric_Korean Leather_ Roll</t>
  </si>
  <si>
    <t>Castor_Pencil_13"_Set_Gold</t>
  </si>
  <si>
    <t>Paint_Primer_Piece</t>
  </si>
  <si>
    <t>Hook_Sofa_Piece</t>
  </si>
  <si>
    <t>Pole_flat Hook_Pair</t>
  </si>
  <si>
    <t>Others_Rope_Piece</t>
  </si>
  <si>
    <t>Dinning table</t>
  </si>
  <si>
    <t>matte</t>
  </si>
  <si>
    <t>Yard</t>
  </si>
  <si>
    <t>Black Wenge</t>
  </si>
  <si>
    <t>Board_ Mdf gloss_Piece</t>
  </si>
  <si>
    <t>Cushion_ Lemon_0.5"_Piece</t>
  </si>
  <si>
    <t>Nail_Tornado_1"_Pack</t>
  </si>
  <si>
    <t>Fabric_Suede leather_ Roll</t>
  </si>
  <si>
    <t>Castor_Pencil_14"_Set_Gold</t>
  </si>
  <si>
    <t>Paint_Hardner_Piece</t>
  </si>
  <si>
    <t>Pole_Round Hook_16mm_Pair</t>
  </si>
  <si>
    <t>Others_Fiber scrums_Pound weight</t>
  </si>
  <si>
    <t xml:space="preserve"> Roll</t>
  </si>
  <si>
    <t>Black</t>
  </si>
  <si>
    <t>Board_ Hdf gloss_Piece</t>
  </si>
  <si>
    <t>Cushion_ Lemon_1"_Piece</t>
  </si>
  <si>
    <t>Nail_Tornado_2"_Pack</t>
  </si>
  <si>
    <t>Fabric_Cloth Leather_ Roll</t>
  </si>
  <si>
    <t>Castor_Pencil_15"_Set_Gold</t>
  </si>
  <si>
    <t>Paint_Body filler_Piece</t>
  </si>
  <si>
    <t>Pole_Hook_25mm_Pair</t>
  </si>
  <si>
    <t>Others_button_Piece</t>
  </si>
  <si>
    <t>Desk</t>
  </si>
  <si>
    <t xml:space="preserve"> gloss</t>
  </si>
  <si>
    <t>Offwhite</t>
  </si>
  <si>
    <t>Board_ Marine_Piece</t>
  </si>
  <si>
    <t>Cushion_ Lemon_1.5"_Piece</t>
  </si>
  <si>
    <t>Nail_Tornado_3"_Pack</t>
  </si>
  <si>
    <t>Fabric_Animal Skin_ Roll</t>
  </si>
  <si>
    <t>Castor_Pencil_16"_Set_Gold</t>
  </si>
  <si>
    <t>Others_Troying_Piece</t>
  </si>
  <si>
    <t>Board_ aco_Piece</t>
  </si>
  <si>
    <t>Cushion_ Lemon_2"_Piece</t>
  </si>
  <si>
    <t>Nail_Tornado_4"_Pack</t>
  </si>
  <si>
    <t>Fabric_Velvet_ Roll</t>
  </si>
  <si>
    <t>Castor_Pencil_17"_Set_Gold</t>
  </si>
  <si>
    <t>Others_Tyre_Piece</t>
  </si>
  <si>
    <t>gloss</t>
  </si>
  <si>
    <t>Board_ flutted panel_Piece</t>
  </si>
  <si>
    <t>Cushion_ Lemon_2.5"_Piece</t>
  </si>
  <si>
    <t>Nail_Tornado_5"_Pack</t>
  </si>
  <si>
    <t>Fabric_Semi Skin_ Roll</t>
  </si>
  <si>
    <t>Castor_Pencil_18"_Set_Gold</t>
  </si>
  <si>
    <t>Others_Wibing_Rubber_Yard</t>
  </si>
  <si>
    <t>Airgun</t>
  </si>
  <si>
    <t>0.5"</t>
  </si>
  <si>
    <t>Pound weight</t>
  </si>
  <si>
    <t>Board_ cardboard_Piece</t>
  </si>
  <si>
    <t>Cushion_ Lemon_3"_Piece</t>
  </si>
  <si>
    <t>Fabric_Matte_ Roll</t>
  </si>
  <si>
    <t>Castor_ three finger slant_2"_Set_Gold</t>
  </si>
  <si>
    <t>Others_Spring_Piece</t>
  </si>
  <si>
    <t>1"</t>
  </si>
  <si>
    <t>Board_Back cover_Piece</t>
  </si>
  <si>
    <t>Cushion_ Lemon_3.5"_Piece</t>
  </si>
  <si>
    <t>Fabric_Semi boucle_ Roll</t>
  </si>
  <si>
    <t>Castor_ three finger slant_3"_Set_Gold</t>
  </si>
  <si>
    <t>Others_wainscoating_Piece</t>
  </si>
  <si>
    <t>1.5"</t>
  </si>
  <si>
    <t>Cushion_ Lemon_4"_Piece</t>
  </si>
  <si>
    <t>Fabric_Boucle Fabric_ Roll</t>
  </si>
  <si>
    <t>Castor_ three finger slant_4"_Set_Gold</t>
  </si>
  <si>
    <t>Others_Wibing Rubber_Roll</t>
  </si>
  <si>
    <t>2"</t>
  </si>
  <si>
    <t>Cushion_ Lemon_4.5"_Piece</t>
  </si>
  <si>
    <t>Fabric_Thick Velvet_ Roll</t>
  </si>
  <si>
    <t>Castor_ three finger slant_5"_Set_Gold</t>
  </si>
  <si>
    <t>Others_Table Plastic cover_Piece</t>
  </si>
  <si>
    <t>2.5"</t>
  </si>
  <si>
    <t>Cushion_ Lemon_5"_Piece</t>
  </si>
  <si>
    <t>Fabric_Baft_ Roll</t>
  </si>
  <si>
    <t>Castor_ three finger slant_6"_Set_Gold</t>
  </si>
  <si>
    <t>Others_Tv hanger lightweight_piece_Black</t>
  </si>
  <si>
    <t>Cushion_ Lemon_5.5"_Piece</t>
  </si>
  <si>
    <t>Castor_ three finger slant_7"_Set_Gold</t>
  </si>
  <si>
    <t>Others_screw bit_Piece</t>
  </si>
  <si>
    <t xml:space="preserve"> Hammer</t>
  </si>
  <si>
    <t xml:space="preserve"> bag</t>
  </si>
  <si>
    <t>Cushion_ Lemon_6"_Piece</t>
  </si>
  <si>
    <t>Castor_ three finger slant_8"_Set_Gold</t>
  </si>
  <si>
    <t>Others_Door pusher plastic_Pair</t>
  </si>
  <si>
    <t>Cushion_ grey_0.5"_Piece</t>
  </si>
  <si>
    <t>Castor_ three finger straight_2"_Set_Gold</t>
  </si>
  <si>
    <t>Others_Door Pusher iron_Pair</t>
  </si>
  <si>
    <t>Cushion_ grey_1"_Piece</t>
  </si>
  <si>
    <t>Castor_ three finger straight_3"_Set_Gold</t>
  </si>
  <si>
    <t>Cushion_ grey_1.5"_Piece</t>
  </si>
  <si>
    <t>Castor_ three finger straight_4"_Set_Gold</t>
  </si>
  <si>
    <t>Cushion_ grey_2"_Piece</t>
  </si>
  <si>
    <t>Packaging</t>
  </si>
  <si>
    <t>Castor_ three finger straight_5"_Set_Gold</t>
  </si>
  <si>
    <t>3"</t>
  </si>
  <si>
    <t>Cushion_ grey_2.5"_Piece</t>
  </si>
  <si>
    <t>Castor_ three finger straight_6"_Set_Gold</t>
  </si>
  <si>
    <t>0.25"</t>
  </si>
  <si>
    <t>Pack</t>
  </si>
  <si>
    <t>Cushion_ grey_3"_Piece</t>
  </si>
  <si>
    <t>Insecticide</t>
  </si>
  <si>
    <t>Castor_ three finger straight_7"_Set_Gold</t>
  </si>
  <si>
    <t>Cushion_ grey_3.5"_Piece</t>
  </si>
  <si>
    <t>Castor_ three finger straight_8"_Set_Gold</t>
  </si>
  <si>
    <t>0.75"</t>
  </si>
  <si>
    <t>Cushion_ grey_4"_Piece</t>
  </si>
  <si>
    <t>Castor_ Plastic lshape_2"_Set_Black</t>
  </si>
  <si>
    <t>Cushion_ grey_4.5"_Piece</t>
  </si>
  <si>
    <t>Castor_ Plastic lshape_3"_Set_Black</t>
  </si>
  <si>
    <t>1.25"</t>
  </si>
  <si>
    <t>Cushion_ grey_5"_Piece</t>
  </si>
  <si>
    <t>Cushion</t>
  </si>
  <si>
    <t>Castor_ Plastic lshape_4"_Set_Black</t>
  </si>
  <si>
    <t>Cushion_ grey_5.5"_Piece</t>
  </si>
  <si>
    <t>Marble</t>
  </si>
  <si>
    <t>Castor_ Plastic lshape_5"_Set_Black</t>
  </si>
  <si>
    <t>Cushion_ grey_6"_Piece</t>
  </si>
  <si>
    <t>Castor_ Plastic lshape_6"_Set_Black</t>
  </si>
  <si>
    <t>Korean Leather</t>
  </si>
  <si>
    <t>Cushion_Supersoft_0.5"_Piece</t>
  </si>
  <si>
    <t>Castor_ alluminium lshape_2"_Set_Gold</t>
  </si>
  <si>
    <t>Suede leather</t>
  </si>
  <si>
    <t>Cushion_Supersoft_1"_Piece</t>
  </si>
  <si>
    <t>Castor_ alluminium lshape_3"_Set_Gold</t>
  </si>
  <si>
    <t>Cloth Leather</t>
  </si>
  <si>
    <t>Cushion_Supersoft_1.5"_Piece</t>
  </si>
  <si>
    <t>Castor_ alluminium lshape_4"_Set_Gold</t>
  </si>
  <si>
    <t>Animal Skin</t>
  </si>
  <si>
    <t>Square meter</t>
  </si>
  <si>
    <t>Cushion_Supersoft_2"_Piece</t>
  </si>
  <si>
    <t>Castor_ alluminium lshape_5"_Set_Gold</t>
  </si>
  <si>
    <t>Velvet</t>
  </si>
  <si>
    <t>Cushion_Supersoft_2.5"_Piece</t>
  </si>
  <si>
    <t>Castor_ alluminium lshape_6"_Set_Gold</t>
  </si>
  <si>
    <t>Semi Skin</t>
  </si>
  <si>
    <t>Cushion_Supersoft_3"_Piece</t>
  </si>
  <si>
    <t>Matte</t>
  </si>
  <si>
    <t>Cushion_Supersoft_3.5"_Piece</t>
  </si>
  <si>
    <t>Semi boucle</t>
  </si>
  <si>
    <t>Cushion_Supersoft_4"_Piece</t>
  </si>
  <si>
    <t>Boucle Fabric</t>
  </si>
  <si>
    <t>Cushion_Supersoft_4.5"_Piece</t>
  </si>
  <si>
    <t>Thick Velvet</t>
  </si>
  <si>
    <t>chocolate brown</t>
  </si>
  <si>
    <t>Cushion_Supersoft_5"_Piece</t>
  </si>
  <si>
    <t>Baft</t>
  </si>
  <si>
    <t>Cushion_Supersoft_5.5"_Piece</t>
  </si>
  <si>
    <t>Cushion_Supersoft_6"_Piece</t>
  </si>
  <si>
    <t>Cushion_Fiber sheet_Square meter</t>
  </si>
  <si>
    <t>Pencil</t>
  </si>
  <si>
    <t>Set</t>
  </si>
  <si>
    <t>4"</t>
  </si>
  <si>
    <t>5"</t>
  </si>
  <si>
    <t>7"</t>
  </si>
  <si>
    <t>8"</t>
  </si>
  <si>
    <t>9"</t>
  </si>
  <si>
    <t>11"</t>
  </si>
  <si>
    <t>13"</t>
  </si>
  <si>
    <t>15"</t>
  </si>
  <si>
    <t>17"</t>
  </si>
  <si>
    <t>18"</t>
  </si>
  <si>
    <t xml:space="preserve"> three finger slant</t>
  </si>
  <si>
    <t xml:space="preserve"> three finger straight</t>
  </si>
  <si>
    <t xml:space="preserve"> Plastic lshape</t>
  </si>
  <si>
    <t xml:space="preserve"> alluminium lshape</t>
  </si>
  <si>
    <t>Hydraulic</t>
  </si>
  <si>
    <t xml:space="preserve"> Ordinary</t>
  </si>
  <si>
    <t xml:space="preserve"> Absorber</t>
  </si>
  <si>
    <t>Mdf ordinay</t>
  </si>
  <si>
    <t>Hdf ordinary</t>
  </si>
  <si>
    <t xml:space="preserve"> Mdf gloss</t>
  </si>
  <si>
    <t xml:space="preserve"> Hdf gloss</t>
  </si>
  <si>
    <t xml:space="preserve"> Marine</t>
  </si>
  <si>
    <t xml:space="preserve"> aco</t>
  </si>
  <si>
    <t xml:space="preserve"> flutted panel</t>
  </si>
  <si>
    <t xml:space="preserve"> cardboard</t>
  </si>
  <si>
    <t>Blue</t>
  </si>
  <si>
    <t>3.5"</t>
  </si>
  <si>
    <t>4.5"</t>
  </si>
  <si>
    <t>5.5"</t>
  </si>
  <si>
    <t xml:space="preserve"> Lemon</t>
  </si>
  <si>
    <t xml:space="preserve"> grey</t>
  </si>
  <si>
    <t>Supersoft</t>
  </si>
  <si>
    <t>Aluminium</t>
  </si>
  <si>
    <t>Iron</t>
  </si>
  <si>
    <t>Plastic</t>
  </si>
  <si>
    <t>Particle</t>
  </si>
  <si>
    <t>Nigerian Plywood</t>
  </si>
  <si>
    <t>Foreign Plywood</t>
  </si>
  <si>
    <t>Nigeria Black</t>
  </si>
  <si>
    <t>Black Galaxy</t>
  </si>
  <si>
    <t>Red Marble</t>
  </si>
  <si>
    <t>Foreign Quartz</t>
  </si>
  <si>
    <t>Multired</t>
  </si>
  <si>
    <t>White Cara</t>
  </si>
  <si>
    <t>Paradiso</t>
  </si>
  <si>
    <t>Silver Gold</t>
  </si>
  <si>
    <t>Gum</t>
  </si>
  <si>
    <t>3kg</t>
  </si>
  <si>
    <t>15kg</t>
  </si>
  <si>
    <t>Top Bond</t>
  </si>
  <si>
    <t>China glue</t>
  </si>
  <si>
    <t>Silicon</t>
  </si>
  <si>
    <t>Rock Panel</t>
  </si>
  <si>
    <t>Fiber sheet</t>
  </si>
  <si>
    <t>Tornado</t>
  </si>
  <si>
    <t>Panel</t>
  </si>
  <si>
    <t>Dotted strip</t>
  </si>
  <si>
    <t>Warm white</t>
  </si>
  <si>
    <t>Choke</t>
  </si>
  <si>
    <t>Roll</t>
  </si>
  <si>
    <t xml:space="preserve">Running </t>
  </si>
  <si>
    <t>Stapler</t>
  </si>
  <si>
    <t>Gold sofa</t>
  </si>
  <si>
    <t>Silver sofa</t>
  </si>
  <si>
    <t>Stud Plastic</t>
  </si>
  <si>
    <t>Bed</t>
  </si>
  <si>
    <t>Stud Silver</t>
  </si>
  <si>
    <t>Cabinet</t>
  </si>
  <si>
    <t>Curtain</t>
  </si>
  <si>
    <t>Wrapping nylon</t>
  </si>
  <si>
    <t>Medium</t>
  </si>
  <si>
    <t>Bubble</t>
  </si>
  <si>
    <t>Large</t>
  </si>
  <si>
    <t>Cellutape</t>
  </si>
  <si>
    <t>Silver</t>
  </si>
  <si>
    <t>DD force</t>
  </si>
  <si>
    <t>Sand_Paper</t>
  </si>
  <si>
    <t>Carton</t>
  </si>
  <si>
    <t>Rope</t>
  </si>
  <si>
    <t>Fiber scrums</t>
  </si>
  <si>
    <t>button</t>
  </si>
  <si>
    <t>Troying</t>
  </si>
  <si>
    <t>Tyre</t>
  </si>
  <si>
    <t>Wibing_Rubber</t>
  </si>
  <si>
    <t>Spring</t>
  </si>
  <si>
    <t>Emulsion</t>
  </si>
  <si>
    <t>Bucket</t>
  </si>
  <si>
    <t>wainscoating</t>
  </si>
  <si>
    <t>Spray paint</t>
  </si>
  <si>
    <t>Wibing Rubber</t>
  </si>
  <si>
    <t>Auto cray</t>
  </si>
  <si>
    <t>Auto base</t>
  </si>
  <si>
    <t>Primer</t>
  </si>
  <si>
    <t>Hardner</t>
  </si>
  <si>
    <t>Body filler</t>
  </si>
  <si>
    <t>Machine_accessories</t>
  </si>
  <si>
    <t>Grinder backing pad</t>
  </si>
  <si>
    <t>small</t>
  </si>
  <si>
    <t>Undermount</t>
  </si>
  <si>
    <t>Table Plastic cover</t>
  </si>
  <si>
    <t>Light grey</t>
  </si>
  <si>
    <t>Dark grey</t>
  </si>
  <si>
    <t>Cappuccino</t>
  </si>
  <si>
    <t>Cida</t>
  </si>
  <si>
    <t>alluminium</t>
  </si>
  <si>
    <t>Tv hanger lightweight</t>
  </si>
  <si>
    <t>piece</t>
  </si>
  <si>
    <t>Grey</t>
  </si>
  <si>
    <t>5/8"</t>
  </si>
  <si>
    <t>Round</t>
  </si>
  <si>
    <t>16mm</t>
  </si>
  <si>
    <t>Flat</t>
  </si>
  <si>
    <t>flat Hook</t>
  </si>
  <si>
    <t>Round Hook</t>
  </si>
  <si>
    <t>25mm</t>
  </si>
  <si>
    <t>screw bit</t>
  </si>
  <si>
    <t>Door pusher plastic</t>
  </si>
  <si>
    <t>Door Pusher iron</t>
  </si>
  <si>
    <t>20"</t>
  </si>
  <si>
    <t>Melina</t>
  </si>
  <si>
    <t>1"x10"x144"</t>
  </si>
  <si>
    <t>Iroko</t>
  </si>
  <si>
    <t>Back 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</si>
</sst>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0" xfId="0" applyFont="1" applyFill="1" applyProtection="1">
      <protection hidden="1"/>
    </xf>
    <xf numFmtId="0" fontId="0" fillId="0" borderId="1" xfId="0" applyBorder="1"/>
    <xf numFmtId="0" fontId="0" fillId="0" borderId="2" xfId="0" applyBorder="1"/>
    <xf numFmtId="0" fontId="0" fillId="0" borderId="0" xfId="0" applyProtection="1">
      <protection hidden="1"/>
    </xf>
    <xf numFmtId="0" fontId="0" fillId="0" borderId="0" xfId="0" applyProtection="1">
      <protection locked="0"/>
    </xf>
    <xf numFmtId="43" fontId="0" fillId="0" borderId="0" xfId="1" applyFont="1" applyProtection="1">
      <protection hidden="1"/>
    </xf>
    <xf numFmtId="0" fontId="0" fillId="0" borderId="3" xfId="0" applyBorder="1"/>
    <xf numFmtId="0" fontId="3" fillId="0" borderId="0" xfId="0" applyFont="1" applyAlignment="1" applyProtection="1">
      <alignment vertical="center"/>
      <protection locked="0"/>
    </xf>
    <xf numFmtId="16" fontId="0" fillId="0" borderId="0" xfId="0" applyNumberFormat="1" applyProtection="1">
      <protection locked="0"/>
    </xf>
    <xf numFmtId="43" fontId="0" fillId="0" borderId="0" xfId="1" applyFont="1" applyFill="1" applyProtection="1">
      <protection hidden="1"/>
    </xf>
  </cellXfs>
  <cellStyles count="2">
    <cellStyle name="Comma" xfId="1" builtinId="3"/>
    <cellStyle name="Normal" xfId="0" builtinId="0"/>
  </cellStyles>
  <dxfs count="19"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ill>
        <patternFill patternType="none">
          <fgColor indexed="64"/>
          <bgColor indexed="65"/>
        </patternFill>
      </fill>
      <protection locked="1" hidden="1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protection locked="1" hidden="1"/>
    </dxf>
    <dxf>
      <fill>
        <patternFill patternType="none">
          <fgColor indexed="64"/>
          <bgColor indexed="65"/>
        </patternFill>
      </fill>
      <protection locked="1" hidden="1"/>
    </dxf>
    <dxf>
      <font>
        <b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protection locked="1" hidden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ummitnovatrustlimited-my.sharepoint.com/personal/admin_summitnovatrustltd_com/Documents/Summit%20Furnitures/New%20Costing%20Schedule.xlsm" TargetMode="External"/><Relationship Id="rId1" Type="http://schemas.openxmlformats.org/officeDocument/2006/relationships/externalLinkPath" Target="https://summitnovatrustlimited-my.sharepoint.com/personal/admin_summitnovatrustltd_com/Documents/Summit%20Furnitures/New%20Costing%20Schedul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M"/>
      <sheetName val="Record"/>
      <sheetName val="Database"/>
    </sheetNames>
    <sheetDataSet>
      <sheetData sheetId="0"/>
      <sheetData sheetId="1" refreshError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6C7BEC-CAF0-43F8-BCEE-BB010B9483AB}" name="Price_tbl" displayName="Price_tbl" ref="B2:H306" totalsRowShown="0" headerRowDxfId="18" dataDxfId="17">
  <autoFilter ref="B2:H306" xr:uid="{7233952C-894C-4B80-B5C7-37452521AD7F}"/>
  <tableColumns count="7">
    <tableColumn id="7" xr3:uid="{CC586433-E7CE-4C4B-874D-F3C3EC950EAF}" name="Column1" dataDxfId="16">
      <calculatedColumnFormula>IFERROR(_xlfn.TEXTJOIN("_",TRUE,Price_tbl[[#This Row],[Category]],Price_tbl[[#This Row],[Sub_category]],Price_tbl[[#This Row],[Size]],Price_tbl[[#This Row],[Unit]],Price_tbl[[#This Row],[Color]]),"")</calculatedColumnFormula>
    </tableColumn>
    <tableColumn id="1" xr3:uid="{3C0AC366-C735-4E83-98EF-2006BA9B65C2}" name="Category" dataDxfId="15"/>
    <tableColumn id="2" xr3:uid="{95D3736C-4E84-4A8D-8354-D1800AFD2603}" name="Sub_category" dataDxfId="14"/>
    <tableColumn id="3" xr3:uid="{C7F27B31-9311-454C-B58E-777E3FC11A96}" name="Size" dataDxfId="13"/>
    <tableColumn id="4" xr3:uid="{68E284DB-B931-4CF0-BBBF-F7C4A85F048C}" name="Unit" dataDxfId="12"/>
    <tableColumn id="6" xr3:uid="{91D34A1E-1ABE-4093-8C2D-37B46E99ED96}" name="Color" dataDxfId="11"/>
    <tableColumn id="5" xr3:uid="{2C9CFCF4-8EAF-4F4E-A70D-E8321C1B6B9D}" name="Prices" dataDxfId="10" dataCellStyle="Comma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8A4EB5-C15A-43B6-942E-5BF1BCCEE0A4}" name="Table2" displayName="Table2" ref="L1:L20" totalsRowShown="0">
  <autoFilter ref="L1:L20" xr:uid="{A7EC77FE-0D3B-47D1-B322-C97E4629F646}"/>
  <tableColumns count="1">
    <tableColumn id="1" xr3:uid="{78260E1D-8647-40D7-9B7D-C0AD9C7C6A41}" name="Boar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1807E2-3FC2-41ED-AF83-25AEBBBA1FE1}" name="Table3" displayName="Table3" ref="N1:N50" totalsRowShown="0">
  <autoFilter ref="N1:N50" xr:uid="{36E8160D-21CF-4CB1-832E-8D4000BD804B}"/>
  <tableColumns count="1">
    <tableColumn id="1" xr3:uid="{AAD94724-65D1-4CC7-8C76-641AB051B945}" name="Foa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00C814F-F721-4847-B336-3A167903DA12}" name="Table4" displayName="Table4" ref="P1:P3" totalsRowShown="0">
  <autoFilter ref="P1:P3" xr:uid="{F8F33694-5936-4D2A-B6B0-3E80369DBAA2}"/>
  <tableColumns count="1">
    <tableColumn id="1" xr3:uid="{F49AC652-6511-41C9-B8B0-F45842DD0DC6}" name="Woo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5B64535-3D54-45D7-9E1A-A36D1F14A3A4}" name="Table5" displayName="Table5" ref="R1:R5" totalsRowShown="0" dataDxfId="9" tableBorderDxfId="8">
  <autoFilter ref="R1:R5" xr:uid="{E109C282-59AE-4ABB-B3D8-85097F57BD6D}"/>
  <tableColumns count="1">
    <tableColumn id="1" xr3:uid="{68712C4A-14B2-44AE-B7BB-DCCDCDB5A84E}" name="Handle" dataDxfId="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81ADD42-A7B3-46C2-923A-29A77300C653}" name="Table6" displayName="Table6" ref="T1:T9" totalsRowShown="0">
  <autoFilter ref="T1:T9" xr:uid="{1800FBDD-C22E-4919-B487-4A955BC8CF91}"/>
  <tableColumns count="1">
    <tableColumn id="1" xr3:uid="{916A156C-9373-44B6-B841-1AA69219F29E}" name="Drawer_Runne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83B0581-16EF-4154-A839-9E92813B6501}" name="Table7" displayName="Table7" ref="V1:V6" totalsRowShown="0">
  <autoFilter ref="V1:V6" xr:uid="{A08FCCE1-896F-414F-9A19-8B9C5ED8999F}"/>
  <tableColumns count="1">
    <tableColumn id="1" xr3:uid="{21C81083-7EB7-46FD-A047-6A638229474C}" name="Edge_tap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0D21CE8-394E-4D18-871D-382102B4A212}" name="Table8" displayName="Table8" ref="X1:X23" totalsRowShown="0">
  <autoFilter ref="X1:X23" xr:uid="{1AAAA6FC-F033-4C0C-9B33-532916A0F8CE}"/>
  <tableColumns count="1">
    <tableColumn id="1" xr3:uid="{1FC533BA-61CE-4A44-8E46-14394EDCE5B1}" name="Nai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6062D5F-F315-4F45-B1F6-F407F0FA2B12}" name="Table9" displayName="Table9" ref="Z1:Z8" totalsRowShown="0">
  <autoFilter ref="Z1:Z8" xr:uid="{277C33FE-9C48-435A-A9CD-7D1E1715DC18}"/>
  <tableColumns count="1">
    <tableColumn id="1" xr3:uid="{65FAD65D-5078-43DB-BCF7-922101013A28}" name="Screw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0B3F026-3083-44C8-8E05-EC0F2D43F1EB}" name="Table10" displayName="Table10" ref="AB1:AB23" totalsRowShown="0">
  <autoFilter ref="AB1:AB23" xr:uid="{0AF1A240-8162-4642-9BC1-725A17C844EB}"/>
  <tableColumns count="1">
    <tableColumn id="1" xr3:uid="{CB6593B5-62F2-464D-970A-683950E98830}" name="Fabric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A39AE02-D2F9-41E3-82CC-36118B9A3D0A}" name="Table11" displayName="Table11" ref="AD1:AD42" totalsRowShown="0">
  <autoFilter ref="AD1:AD42" xr:uid="{E0CDF2C8-3534-4489-9B61-3A1B12CDFF82}"/>
  <tableColumns count="1">
    <tableColumn id="1" xr3:uid="{B055AC4D-1220-429A-AD9F-DB5E773B731D}" name="Castor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26DB3FC-6616-4CF7-AF6D-40196A234699}" name="Table12" displayName="Table12" ref="AF1:AF4" totalsRowShown="0">
  <autoFilter ref="AF1:AF4" xr:uid="{B80909EF-9384-48B1-A764-E5A6D225B726}"/>
  <tableColumns count="1">
    <tableColumn id="1" xr3:uid="{75D50EDB-DDAE-45D9-B765-AFC1E702AA95}" name="Cabinet_hing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C638D2B-2B7D-4DA1-A5DD-DD6A5853F87B}" name="Table13" displayName="Table13" ref="AH1:AH4" totalsRowShown="0">
  <autoFilter ref="AH1:AH4" xr:uid="{924D2220-BB35-4DDB-B98A-FC9811633F62}"/>
  <tableColumns count="1">
    <tableColumn id="1" xr3:uid="{B2DC6630-23DC-4451-BA25-6FFDA10E587F}" name="Angle_bracke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42EA0D6-E8ED-4BC6-952E-3819F2AA2595}" name="Table14" displayName="Table14" ref="AJ1:AJ6" totalsRowShown="0">
  <autoFilter ref="AJ1:AJ6" xr:uid="{9792BA8F-C133-402D-853B-1D6DD7AA594E}"/>
  <tableColumns count="1">
    <tableColumn id="1" xr3:uid="{080E6D0F-7045-4885-90BE-449A7960A9F4}" name="Adhensiv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67D4DD1-5E8D-4B65-8DF4-96FDDB2720B3}" name="Table15" displayName="Table15" ref="AL1:AL8" totalsRowShown="0">
  <autoFilter ref="AL1:AL8" xr:uid="{1C59DAEE-EE7F-43E3-9BC5-F74C64DDF315}"/>
  <tableColumns count="1">
    <tableColumn id="1" xr3:uid="{2BDF5A64-ACF0-4350-976F-CF2BB08EEA77}" name="Pin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F328F14-41DF-4F12-92DD-BEEB5242E820}" name="Table16" displayName="Table16" ref="AN1:AN5" totalsRowShown="0">
  <autoFilter ref="AN1:AN5" xr:uid="{0EC91AAB-E0F2-4A39-9347-7CED17132E38}"/>
  <tableColumns count="1">
    <tableColumn id="1" xr3:uid="{F5305ED1-EA2C-4418-9860-4B8915E15C57}" name="Lightening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8D0F3EB-9F27-4763-A802-0A26C5E84631}" name="Table17" displayName="Table17" ref="AH10:AH15" totalsRowShown="0">
  <autoFilter ref="AH10:AH15" xr:uid="{A92F5AD6-642E-4B38-AAE0-948705AD831B}"/>
  <tableColumns count="1">
    <tableColumn id="1" xr3:uid="{031A54DD-94D3-461D-944D-B22484A5B101}" name="Paint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C99D5A8-DF02-4C7E-89EA-B50510A3C44D}" name="Table18" displayName="Table18" ref="AJ10:AJ13" totalsRowShown="0">
  <autoFilter ref="AJ10:AJ13" xr:uid="{67FD7BD9-DFB4-4AD6-AEDF-B1B04F5C1D98}"/>
  <tableColumns count="1">
    <tableColumn id="1" xr3:uid="{BAA2ED4A-356B-4587-9F7F-14E3395068DB}" name="Hook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DF5D00A-16F0-4052-A4B6-FABFEC30CA11}" name="Table19" displayName="Table19" ref="AL10:AL15" totalsRowShown="0">
  <autoFilter ref="AL10:AL15" xr:uid="{F776133F-D345-4AAA-9105-C3E9662A3235}"/>
  <tableColumns count="1">
    <tableColumn id="1" xr3:uid="{62FB7536-5583-4AAB-9FC1-82A7F3E41957}" name="Pol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735F2CA-3791-4867-A6AA-F3817C7CD50A}" name="Table20" displayName="Table20" ref="AN10:AN12" totalsRowShown="0">
  <autoFilter ref="AN10:AN12" xr:uid="{C55D72F0-637B-4E82-B8DE-BD9E74DB02B2}"/>
  <tableColumns count="1">
    <tableColumn id="1" xr3:uid="{838E7BA1-B67A-4A35-AC19-72C86963D5B8}" name="Chrom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F170401F-274A-4A09-8744-E4F44428024E}" name="Table21" displayName="Table21" ref="AP10:AP26" totalsRowShown="0">
  <autoFilter ref="AP10:AP26" xr:uid="{678204A9-AEB9-40F9-BE58-EC7275047DC6}"/>
  <tableColumns count="1">
    <tableColumn id="1" xr3:uid="{D360CF49-96D0-40DA-9528-757C4AC786FB}" name="Others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580CD63-D221-413D-A3B5-57284B3F01C0}" name="Table22" displayName="Table22" ref="AR10:AR12" totalsRowShown="0">
  <autoFilter ref="AR10:AR12" xr:uid="{5AE27AD0-2DCA-4E0E-B034-98BC3119F608}"/>
  <tableColumns count="1">
    <tableColumn id="1" xr3:uid="{C849396D-2917-4827-B556-45ED6C08C66E}" name="Door_Hinges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D1B9CA6-174D-42F0-8047-8797FCC35545}" name="Table23" displayName="Table23" ref="R13:R37" totalsRowShown="0">
  <autoFilter ref="R13:R37" xr:uid="{64CFA100-E677-4B84-91BE-1D89B565FEE2}"/>
  <tableColumns count="1">
    <tableColumn id="1" xr3:uid="{C721E67B-9275-43DF-A8E2-789BE9C34490}" name="Category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CC0E82A3-4A34-42AE-9253-B012CD5BE038}" name="Table25" displayName="Table25" ref="AU1:AY68" totalsRowShown="0">
  <autoFilter ref="AU1:AY68" xr:uid="{00D92E49-9C04-4FE6-9EAC-7AF48D6DB944}"/>
  <tableColumns count="5">
    <tableColumn id="1" xr3:uid="{BD72596D-968D-4C38-8492-062B157CE4B2}" name="Material"/>
    <tableColumn id="2" xr3:uid="{364A207A-9D7B-48D8-A257-69A33A841175}" name="Length"/>
    <tableColumn id="3" xr3:uid="{A3BE99E9-208F-46C8-A5D3-2AB445E85103}" name="Breadth"/>
    <tableColumn id="4" xr3:uid="{2B539908-2D8A-4C58-BB08-D2FC433A5E91}" name="Sqm" dataDxfId="6">
      <calculatedColumnFormula>CONVERT(Table25[[#This Row],[Length]],"in","m")*CONVERT(Table25[[#This Row],[Breadth]],"in","m")</calculatedColumnFormula>
    </tableColumn>
    <tableColumn id="5" xr3:uid="{FE3F81BD-BFFD-4EEA-A002-4EF4108CDA96}" name="Price per sqm" dataDxfId="5">
      <calculatedColumnFormula>ROUND(_xlfn.XLOOKUP(Table25[[#This Row],[Material]],Price_tbl[Column1],Price_tbl[Prices],0,0,1)/Table25[[#This Row],[Sqm]],0)</calculatedColumnFormula>
    </tableColumn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B4B8862-29FD-4518-8DAC-01447397F5E3}" name="Table26" displayName="Table26" ref="BA2:BA15" totalsRowShown="0">
  <autoFilter ref="BA2:BA15" xr:uid="{FBA095EF-EE1E-4D88-AAB9-41044862A33C}"/>
  <tableColumns count="1">
    <tableColumn id="1" xr3:uid="{B2926D52-17D2-4FFE-BC66-320DFEA78DFC}" name="Product/Service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40541F9D-0B14-49A8-BD84-2C1918D6E545}" name="Table27" displayName="Table27" ref="BC2:BC9" totalsRowShown="0">
  <autoFilter ref="BC2:BC9" xr:uid="{210A1975-9F18-49F1-9B32-AC93BD138C2A}"/>
  <tableColumns count="1">
    <tableColumn id="1" xr3:uid="{013FAC5B-C736-4DF7-B5E0-405049806517}" name="Sofa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99B5BBFC-0C11-470C-B565-EE40757E5AE6}" name="Table28" displayName="Table28" ref="BE2:BE12" totalsRowShown="0" headerRowDxfId="4" headerRowBorderDxfId="2" tableBorderDxfId="3">
  <autoFilter ref="BE2:BE12" xr:uid="{BBB7B6AA-7E4C-4560-8489-17C3A48918F4}"/>
  <tableColumns count="1">
    <tableColumn id="1" xr3:uid="{821EACE1-2ADA-4D2E-8C4B-984A49B234C8}" name="Bedframe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19F6AFDF-296B-4510-895B-5B9285F25EFE}" name="Table29" displayName="Table29" ref="BG2:BG4" totalsRowShown="0" headerRowBorderDxfId="0" tableBorderDxfId="1">
  <autoFilter ref="BG2:BG4" xr:uid="{D27780CA-8455-48FD-B976-5490166C8358}"/>
  <tableColumns count="1">
    <tableColumn id="1" xr3:uid="{DEB2A3E6-A69D-46FC-B9CA-C6531E06DC26}" name="Other Costs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DE724931-1188-428C-97D0-34373717AF37}" name="Table30" displayName="Table30" ref="BI2:BI12" totalsRowShown="0">
  <autoFilter ref="BI2:BI12" xr:uid="{02F80A84-AF86-461D-9152-21EF8DDA2F32}"/>
  <tableColumns count="1">
    <tableColumn id="1" xr3:uid="{9DE89D38-328F-4BB2-9FD9-F40429B86902}" name="Workmanship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A3FD677-9304-4081-9DCC-31C69C7A4416}" name="Table31" displayName="Table31" ref="BK2:BK4" totalsRowShown="0">
  <autoFilter ref="BK2:BK4" xr:uid="{5EF1A0BE-E1B6-4ED2-A717-D8F5FB64F727}"/>
  <tableColumns count="1">
    <tableColumn id="1" xr3:uid="{9C4D2626-881D-408E-9B21-DF991AB38A7D}" name="Logistic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3" Type="http://schemas.openxmlformats.org/officeDocument/2006/relationships/table" Target="../tables/table3.xml"/><Relationship Id="rId21" Type="http://schemas.openxmlformats.org/officeDocument/2006/relationships/table" Target="../tables/table21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29" Type="http://schemas.openxmlformats.org/officeDocument/2006/relationships/table" Target="../tables/table29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Relationship Id="rId30" Type="http://schemas.openxmlformats.org/officeDocument/2006/relationships/table" Target="../tables/table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89E5A-BA19-45BD-9FC5-8763A0D9A036}">
  <sheetPr codeName="Sheet2"/>
  <dimension ref="B1:CE306"/>
  <sheetViews>
    <sheetView tabSelected="1" zoomScale="91" workbookViewId="0">
      <selection activeCell="N10" sqref="N10"/>
    </sheetView>
  </sheetViews>
  <sheetFormatPr defaultRowHeight="14.5" x14ac:dyDescent="0.35"/>
  <cols>
    <col min="2" max="2" width="46.54296875" bestFit="1" customWidth="1"/>
    <col min="3" max="3" width="18.54296875" bestFit="1" customWidth="1"/>
    <col min="4" max="4" width="17.7265625" bestFit="1" customWidth="1"/>
    <col min="5" max="5" width="9.54296875" bestFit="1" customWidth="1"/>
    <col min="6" max="6" width="11.54296875" bestFit="1" customWidth="1"/>
    <col min="8" max="8" width="20.26953125" customWidth="1"/>
    <col min="12" max="12" width="30.81640625" bestFit="1" customWidth="1"/>
    <col min="14" max="14" width="31.81640625" bestFit="1" customWidth="1"/>
    <col min="16" max="16" width="26.7265625" bestFit="1" customWidth="1"/>
    <col min="18" max="18" width="24.1796875" bestFit="1" customWidth="1"/>
    <col min="20" max="20" width="29.26953125" bestFit="1" customWidth="1"/>
    <col min="21" max="21" width="8.453125" customWidth="1"/>
    <col min="22" max="22" width="30.81640625" bestFit="1" customWidth="1"/>
    <col min="24" max="24" width="25.81640625" bestFit="1" customWidth="1"/>
    <col min="26" max="26" width="21.1796875" bestFit="1" customWidth="1"/>
    <col min="28" max="28" width="35.54296875" bestFit="1" customWidth="1"/>
    <col min="30" max="30" width="34.1796875" bestFit="1" customWidth="1"/>
    <col min="32" max="32" width="26.1796875" bestFit="1" customWidth="1"/>
    <col min="34" max="34" width="29.81640625" bestFit="1" customWidth="1"/>
    <col min="36" max="36" width="24" bestFit="1" customWidth="1"/>
    <col min="38" max="38" width="18.7265625" bestFit="1" customWidth="1"/>
    <col min="40" max="40" width="34.81640625" bestFit="1" customWidth="1"/>
    <col min="42" max="42" width="35" bestFit="1" customWidth="1"/>
    <col min="44" max="44" width="20.54296875" bestFit="1" customWidth="1"/>
    <col min="47" max="47" width="30.81640625" bestFit="1" customWidth="1"/>
    <col min="49" max="49" width="9.453125" customWidth="1"/>
    <col min="51" max="51" width="14.26953125" customWidth="1"/>
    <col min="53" max="53" width="16.26953125" customWidth="1"/>
    <col min="57" max="57" width="15.26953125" bestFit="1" customWidth="1"/>
    <col min="59" max="59" width="12.54296875" customWidth="1"/>
    <col min="61" max="61" width="14.453125" customWidth="1"/>
    <col min="63" max="63" width="26.81640625" bestFit="1" customWidth="1"/>
  </cols>
  <sheetData>
    <row r="1" spans="2:83" x14ac:dyDescent="0.35">
      <c r="L1" t="s">
        <v>0</v>
      </c>
      <c r="N1" t="s">
        <v>1</v>
      </c>
      <c r="P1" t="s">
        <v>2</v>
      </c>
      <c r="R1" t="s">
        <v>3</v>
      </c>
      <c r="T1" t="s">
        <v>4</v>
      </c>
      <c r="V1" t="s">
        <v>5</v>
      </c>
      <c r="X1" t="s">
        <v>6</v>
      </c>
      <c r="Z1" t="s">
        <v>7</v>
      </c>
      <c r="AB1" t="s">
        <v>8</v>
      </c>
      <c r="AD1" t="s">
        <v>9</v>
      </c>
      <c r="AF1" t="s">
        <v>10</v>
      </c>
      <c r="AH1" t="s">
        <v>11</v>
      </c>
      <c r="AJ1" t="s">
        <v>12</v>
      </c>
      <c r="AL1" t="s">
        <v>13</v>
      </c>
      <c r="AN1" t="s">
        <v>14</v>
      </c>
      <c r="AU1" t="s">
        <v>15</v>
      </c>
      <c r="AV1" t="s">
        <v>16</v>
      </c>
      <c r="AW1" t="s">
        <v>17</v>
      </c>
      <c r="AX1" t="s">
        <v>18</v>
      </c>
      <c r="AY1" t="s">
        <v>19</v>
      </c>
    </row>
    <row r="2" spans="2:83" x14ac:dyDescent="0.35"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L2" t="s">
        <v>27</v>
      </c>
      <c r="N2" t="s">
        <v>28</v>
      </c>
      <c r="P2" t="s">
        <v>29</v>
      </c>
      <c r="R2" s="2" t="s">
        <v>30</v>
      </c>
      <c r="T2" t="s">
        <v>31</v>
      </c>
      <c r="V2" t="s">
        <v>32</v>
      </c>
      <c r="X2" t="s">
        <v>33</v>
      </c>
      <c r="Z2" t="s">
        <v>34</v>
      </c>
      <c r="AB2" t="s">
        <v>35</v>
      </c>
      <c r="AD2" t="s">
        <v>36</v>
      </c>
      <c r="AF2" t="s">
        <v>37</v>
      </c>
      <c r="AH2" t="s">
        <v>38</v>
      </c>
      <c r="AJ2" t="s">
        <v>39</v>
      </c>
      <c r="AL2" t="s">
        <v>40</v>
      </c>
      <c r="AN2" t="s">
        <v>41</v>
      </c>
      <c r="AU2" t="s">
        <v>27</v>
      </c>
      <c r="AV2">
        <v>48</v>
      </c>
      <c r="AW2">
        <v>96</v>
      </c>
      <c r="AX2">
        <f>CONVERT(Table25[[#This Row],[Length]],"in","m")*CONVERT(Table25[[#This Row],[Breadth]],"in","m")</f>
        <v>2.9728972800000002</v>
      </c>
      <c r="AY2">
        <f>ROUND(_xlfn.XLOOKUP(Table25[[#This Row],[Material]],Price_tbl[Column1],Price_tbl[Prices],0,0,1)/Table25[[#This Row],[Sqm]],0)</f>
        <v>0</v>
      </c>
      <c r="BA2" t="s">
        <v>42</v>
      </c>
      <c r="BC2" t="s">
        <v>43</v>
      </c>
      <c r="BE2" s="3" t="s">
        <v>44</v>
      </c>
      <c r="BG2" s="3" t="s">
        <v>45</v>
      </c>
      <c r="BI2" t="s">
        <v>46</v>
      </c>
      <c r="BK2" t="s">
        <v>47</v>
      </c>
    </row>
    <row r="3" spans="2:83" x14ac:dyDescent="0.35">
      <c r="B3" s="4" t="str">
        <f>IFERROR(_xlfn.TEXTJOIN("_",TRUE,Price_tbl[[#This Row],[Category]],Price_tbl[[#This Row],[Sub_category]],Price_tbl[[#This Row],[Size]],Price_tbl[[#This Row],[Unit]],Price_tbl[[#This Row],[Color]]),"")</f>
        <v>Handle_knob_Piece</v>
      </c>
      <c r="C3" s="5" t="s">
        <v>3</v>
      </c>
      <c r="D3" s="5" t="s">
        <v>48</v>
      </c>
      <c r="E3" s="5"/>
      <c r="F3" s="5" t="s">
        <v>49</v>
      </c>
      <c r="G3" s="5"/>
      <c r="H3" s="6"/>
      <c r="L3" t="s">
        <v>50</v>
      </c>
      <c r="N3" t="s">
        <v>51</v>
      </c>
      <c r="P3" t="s">
        <v>52</v>
      </c>
      <c r="R3" s="2" t="s">
        <v>53</v>
      </c>
      <c r="T3" t="s">
        <v>54</v>
      </c>
      <c r="V3" t="s">
        <v>55</v>
      </c>
      <c r="X3" t="s">
        <v>56</v>
      </c>
      <c r="Z3" t="s">
        <v>57</v>
      </c>
      <c r="AB3" t="s">
        <v>58</v>
      </c>
      <c r="AD3" t="s">
        <v>59</v>
      </c>
      <c r="AF3" t="s">
        <v>60</v>
      </c>
      <c r="AH3" t="s">
        <v>61</v>
      </c>
      <c r="AJ3" t="s">
        <v>62</v>
      </c>
      <c r="AL3" t="s">
        <v>63</v>
      </c>
      <c r="AN3" t="s">
        <v>64</v>
      </c>
      <c r="AU3" t="s">
        <v>50</v>
      </c>
      <c r="AV3">
        <v>48</v>
      </c>
      <c r="AW3">
        <v>96</v>
      </c>
      <c r="AX3">
        <f>CONVERT(Table25[[#This Row],[Length]],"in","m")*CONVERT(Table25[[#This Row],[Breadth]],"in","m")</f>
        <v>2.9728972800000002</v>
      </c>
      <c r="AY3">
        <f>ROUND(_xlfn.XLOOKUP(Table25[[#This Row],[Material]],Price_tbl[Column1],Price_tbl[Prices],0,0,1)/Table25[[#This Row],[Sqm]],0)</f>
        <v>0</v>
      </c>
      <c r="BA3" t="s">
        <v>43</v>
      </c>
      <c r="BC3" t="s">
        <v>65</v>
      </c>
      <c r="BE3" t="s">
        <v>66</v>
      </c>
      <c r="BG3" t="s">
        <v>46</v>
      </c>
      <c r="BI3" t="s">
        <v>67</v>
      </c>
      <c r="BK3" t="s">
        <v>68</v>
      </c>
      <c r="CE3">
        <v>2022</v>
      </c>
    </row>
    <row r="4" spans="2:83" x14ac:dyDescent="0.35">
      <c r="B4" s="4" t="str">
        <f>IFERROR(_xlfn.TEXTJOIN("_",TRUE,Price_tbl[[#This Row],[Category]],Price_tbl[[#This Row],[Sub_category]],Price_tbl[[#This Row],[Size]],Price_tbl[[#This Row],[Unit]],Price_tbl[[#This Row],[Color]]),"")</f>
        <v>Handle_pipe_6"_Piece_Gold</v>
      </c>
      <c r="C4" s="5" t="s">
        <v>3</v>
      </c>
      <c r="D4" s="5" t="s">
        <v>69</v>
      </c>
      <c r="E4" s="5" t="s">
        <v>70</v>
      </c>
      <c r="F4" s="5" t="s">
        <v>49</v>
      </c>
      <c r="G4" s="5" t="s">
        <v>71</v>
      </c>
      <c r="H4" s="6">
        <v>450</v>
      </c>
      <c r="L4" t="s">
        <v>72</v>
      </c>
      <c r="N4" t="s">
        <v>73</v>
      </c>
      <c r="R4" s="2" t="s">
        <v>74</v>
      </c>
      <c r="T4" t="s">
        <v>75</v>
      </c>
      <c r="V4" t="s">
        <v>76</v>
      </c>
      <c r="X4" t="s">
        <v>77</v>
      </c>
      <c r="Z4" t="s">
        <v>78</v>
      </c>
      <c r="AB4" t="s">
        <v>79</v>
      </c>
      <c r="AD4" t="s">
        <v>80</v>
      </c>
      <c r="AF4" t="s">
        <v>81</v>
      </c>
      <c r="AH4" t="s">
        <v>82</v>
      </c>
      <c r="AJ4" t="s">
        <v>83</v>
      </c>
      <c r="AL4" t="s">
        <v>84</v>
      </c>
      <c r="AN4" t="s">
        <v>85</v>
      </c>
      <c r="AU4" t="s">
        <v>72</v>
      </c>
      <c r="AV4">
        <v>48</v>
      </c>
      <c r="AW4">
        <v>96</v>
      </c>
      <c r="AX4">
        <f>CONVERT(Table25[[#This Row],[Length]],"in","m")*CONVERT(Table25[[#This Row],[Breadth]],"in","m")</f>
        <v>2.9728972800000002</v>
      </c>
      <c r="AY4">
        <f>ROUND(_xlfn.XLOOKUP(Table25[[#This Row],[Material]],Price_tbl[Column1],Price_tbl[Prices],0,0,1)/Table25[[#This Row],[Sqm]],0)</f>
        <v>0</v>
      </c>
      <c r="BA4" t="s">
        <v>44</v>
      </c>
      <c r="BC4" t="s">
        <v>86</v>
      </c>
      <c r="BE4" t="s">
        <v>87</v>
      </c>
      <c r="BG4" t="s">
        <v>47</v>
      </c>
      <c r="BI4" t="s">
        <v>88</v>
      </c>
      <c r="BK4" t="s">
        <v>89</v>
      </c>
    </row>
    <row r="5" spans="2:83" x14ac:dyDescent="0.35">
      <c r="B5" s="4" t="str">
        <f>IFERROR(_xlfn.TEXTJOIN("_",TRUE,Price_tbl[[#This Row],[Category]],Price_tbl[[#This Row],[Sub_category]],Price_tbl[[#This Row],[Size]],Price_tbl[[#This Row],[Unit]],Price_tbl[[#This Row],[Color]]),"")</f>
        <v>Handle_line_Piece</v>
      </c>
      <c r="C5" s="5" t="s">
        <v>3</v>
      </c>
      <c r="D5" s="5" t="s">
        <v>90</v>
      </c>
      <c r="E5" s="5"/>
      <c r="F5" s="5" t="s">
        <v>49</v>
      </c>
      <c r="G5" s="5"/>
      <c r="H5" s="6"/>
      <c r="L5" t="s">
        <v>91</v>
      </c>
      <c r="N5" t="s">
        <v>92</v>
      </c>
      <c r="R5" s="7" t="s">
        <v>93</v>
      </c>
      <c r="T5" t="s">
        <v>94</v>
      </c>
      <c r="V5" t="s">
        <v>95</v>
      </c>
      <c r="X5" t="s">
        <v>96</v>
      </c>
      <c r="Z5" t="s">
        <v>97</v>
      </c>
      <c r="AB5" t="s">
        <v>98</v>
      </c>
      <c r="AD5" t="s">
        <v>99</v>
      </c>
      <c r="AJ5" t="s">
        <v>100</v>
      </c>
      <c r="AL5" t="s">
        <v>101</v>
      </c>
      <c r="AN5" t="s">
        <v>102</v>
      </c>
      <c r="AU5" t="s">
        <v>91</v>
      </c>
      <c r="AV5">
        <v>48</v>
      </c>
      <c r="AW5">
        <v>96</v>
      </c>
      <c r="AX5">
        <f>CONVERT(Table25[[#This Row],[Length]],"in","m")*CONVERT(Table25[[#This Row],[Breadth]],"in","m")</f>
        <v>2.9728972800000002</v>
      </c>
      <c r="AY5">
        <f>ROUND(_xlfn.XLOOKUP(Table25[[#This Row],[Material]],Price_tbl[Column1],Price_tbl[Prices],0,0,1)/Table25[[#This Row],[Sqm]],0)</f>
        <v>0</v>
      </c>
      <c r="BA5" t="s">
        <v>103</v>
      </c>
      <c r="BC5" t="s">
        <v>104</v>
      </c>
      <c r="BE5" t="s">
        <v>105</v>
      </c>
      <c r="BI5" t="s">
        <v>106</v>
      </c>
    </row>
    <row r="6" spans="2:83" x14ac:dyDescent="0.35">
      <c r="B6" s="4" t="str">
        <f>IFERROR(_xlfn.TEXTJOIN("_",TRUE,Price_tbl[[#This Row],[Category]],Price_tbl[[#This Row],[Sub_category]],Price_tbl[[#This Row],[Size]],Price_tbl[[#This Row],[Unit]],Price_tbl[[#This Row],[Color]]),"")</f>
        <v>Drawer_Runner_hydraulic_10"_Pair</v>
      </c>
      <c r="C6" s="5" t="s">
        <v>4</v>
      </c>
      <c r="D6" s="5" t="s">
        <v>107</v>
      </c>
      <c r="E6" s="5" t="s">
        <v>108</v>
      </c>
      <c r="F6" s="5" t="s">
        <v>109</v>
      </c>
      <c r="G6" s="5"/>
      <c r="H6" s="6"/>
      <c r="L6" t="s">
        <v>110</v>
      </c>
      <c r="N6" t="s">
        <v>111</v>
      </c>
      <c r="T6" t="s">
        <v>112</v>
      </c>
      <c r="V6" t="s">
        <v>113</v>
      </c>
      <c r="X6" t="s">
        <v>114</v>
      </c>
      <c r="Z6" t="s">
        <v>115</v>
      </c>
      <c r="AB6" t="s">
        <v>116</v>
      </c>
      <c r="AD6" t="s">
        <v>117</v>
      </c>
      <c r="AJ6" t="s">
        <v>118</v>
      </c>
      <c r="AL6" t="s">
        <v>119</v>
      </c>
      <c r="AU6" t="s">
        <v>110</v>
      </c>
      <c r="AV6">
        <v>48</v>
      </c>
      <c r="AW6">
        <v>96</v>
      </c>
      <c r="AX6">
        <f>CONVERT(Table25[[#This Row],[Length]],"in","m")*CONVERT(Table25[[#This Row],[Breadth]],"in","m")</f>
        <v>2.9728972800000002</v>
      </c>
      <c r="AY6">
        <f>ROUND(_xlfn.XLOOKUP(Table25[[#This Row],[Material]],Price_tbl[Column1],Price_tbl[Prices],0,0,1)/Table25[[#This Row],[Sqm]],0)</f>
        <v>0</v>
      </c>
      <c r="BA6" t="s">
        <v>120</v>
      </c>
      <c r="BC6" t="s">
        <v>121</v>
      </c>
      <c r="BE6" t="s">
        <v>122</v>
      </c>
      <c r="BI6" t="s">
        <v>123</v>
      </c>
    </row>
    <row r="7" spans="2:83" x14ac:dyDescent="0.35">
      <c r="B7" s="4" t="str">
        <f>IFERROR(_xlfn.TEXTJOIN("_",TRUE,Price_tbl[[#This Row],[Category]],Price_tbl[[#This Row],[Sub_category]],Price_tbl[[#This Row],[Size]],Price_tbl[[#This Row],[Unit]],Price_tbl[[#This Row],[Color]]),"")</f>
        <v>Drawer_Runner_hydraulic_12"_Pair</v>
      </c>
      <c r="C7" s="5" t="s">
        <v>4</v>
      </c>
      <c r="D7" s="5" t="s">
        <v>107</v>
      </c>
      <c r="E7" s="5" t="s">
        <v>124</v>
      </c>
      <c r="F7" s="5" t="s">
        <v>109</v>
      </c>
      <c r="G7" s="5"/>
      <c r="H7" s="6"/>
      <c r="L7" t="s">
        <v>125</v>
      </c>
      <c r="N7" t="s">
        <v>126</v>
      </c>
      <c r="T7" t="s">
        <v>127</v>
      </c>
      <c r="X7" t="s">
        <v>114</v>
      </c>
      <c r="Z7" t="s">
        <v>128</v>
      </c>
      <c r="AB7" t="s">
        <v>129</v>
      </c>
      <c r="AD7" t="s">
        <v>130</v>
      </c>
      <c r="AL7" t="s">
        <v>131</v>
      </c>
      <c r="AU7" t="s">
        <v>125</v>
      </c>
      <c r="AV7">
        <v>48</v>
      </c>
      <c r="AW7">
        <v>96</v>
      </c>
      <c r="AX7">
        <f>CONVERT(Table25[[#This Row],[Length]],"in","m")*CONVERT(Table25[[#This Row],[Breadth]],"in","m")</f>
        <v>2.9728972800000002</v>
      </c>
      <c r="AY7">
        <f>ROUND(_xlfn.XLOOKUP(Table25[[#This Row],[Material]],Price_tbl[Column1],Price_tbl[Prices],0,0,1)/Table25[[#This Row],[Sqm]],0)</f>
        <v>0</v>
      </c>
      <c r="BA7" t="s">
        <v>132</v>
      </c>
      <c r="BC7" t="s">
        <v>133</v>
      </c>
      <c r="BE7" t="s">
        <v>134</v>
      </c>
      <c r="BI7" t="s">
        <v>135</v>
      </c>
    </row>
    <row r="8" spans="2:83" x14ac:dyDescent="0.35">
      <c r="B8" s="4" t="str">
        <f>IFERROR(_xlfn.TEXTJOIN("_",TRUE,Price_tbl[[#This Row],[Category]],Price_tbl[[#This Row],[Sub_category]],Price_tbl[[#This Row],[Size]],Price_tbl[[#This Row],[Unit]],Price_tbl[[#This Row],[Color]]),"")</f>
        <v>Drawer_Runner_hydraulic_14"_Pair</v>
      </c>
      <c r="C8" s="5" t="s">
        <v>4</v>
      </c>
      <c r="D8" s="5" t="s">
        <v>107</v>
      </c>
      <c r="E8" s="5" t="s">
        <v>136</v>
      </c>
      <c r="F8" s="5" t="s">
        <v>109</v>
      </c>
      <c r="G8" s="5"/>
      <c r="H8" s="6"/>
      <c r="L8" t="s">
        <v>137</v>
      </c>
      <c r="N8" t="s">
        <v>138</v>
      </c>
      <c r="T8" t="s">
        <v>139</v>
      </c>
      <c r="X8" t="s">
        <v>140</v>
      </c>
      <c r="Z8" t="s">
        <v>141</v>
      </c>
      <c r="AB8" t="s">
        <v>142</v>
      </c>
      <c r="AD8" t="s">
        <v>143</v>
      </c>
      <c r="AL8" t="s">
        <v>144</v>
      </c>
      <c r="AU8" t="s">
        <v>137</v>
      </c>
      <c r="AV8">
        <v>48</v>
      </c>
      <c r="AW8">
        <v>96</v>
      </c>
      <c r="AX8">
        <f>CONVERT(Table25[[#This Row],[Length]],"in","m")*CONVERT(Table25[[#This Row],[Breadth]],"in","m")</f>
        <v>2.9728972800000002</v>
      </c>
      <c r="AY8">
        <f>ROUND(_xlfn.XLOOKUP(Table25[[#This Row],[Material]],Price_tbl[Column1],Price_tbl[Prices],0,0,1)/Table25[[#This Row],[Sqm]],0)</f>
        <v>0</v>
      </c>
      <c r="BA8" t="s">
        <v>145</v>
      </c>
      <c r="BC8" t="s">
        <v>146</v>
      </c>
      <c r="BE8" t="s">
        <v>147</v>
      </c>
      <c r="BI8" t="s">
        <v>148</v>
      </c>
    </row>
    <row r="9" spans="2:83" x14ac:dyDescent="0.35">
      <c r="B9" s="4" t="str">
        <f>IFERROR(_xlfn.TEXTJOIN("_",TRUE,Price_tbl[[#This Row],[Category]],Price_tbl[[#This Row],[Sub_category]],Price_tbl[[#This Row],[Size]],Price_tbl[[#This Row],[Unit]],Price_tbl[[#This Row],[Color]]),"")</f>
        <v>Drawer_Runner_hydraulic_16"_Pair</v>
      </c>
      <c r="C9" s="5" t="s">
        <v>4</v>
      </c>
      <c r="D9" s="5" t="s">
        <v>107</v>
      </c>
      <c r="E9" s="5" t="s">
        <v>149</v>
      </c>
      <c r="F9" s="5" t="s">
        <v>109</v>
      </c>
      <c r="G9" s="5"/>
      <c r="H9" s="6"/>
      <c r="L9" t="s">
        <v>150</v>
      </c>
      <c r="N9" t="s">
        <v>151</v>
      </c>
      <c r="T9" t="s">
        <v>152</v>
      </c>
      <c r="X9" t="s">
        <v>153</v>
      </c>
      <c r="AB9" t="s">
        <v>154</v>
      </c>
      <c r="AD9" t="s">
        <v>155</v>
      </c>
      <c r="AU9" t="s">
        <v>150</v>
      </c>
      <c r="AV9">
        <v>48</v>
      </c>
      <c r="AW9">
        <v>96</v>
      </c>
      <c r="AX9">
        <f>CONVERT(Table25[[#This Row],[Length]],"in","m")*CONVERT(Table25[[#This Row],[Breadth]],"in","m")</f>
        <v>2.9728972800000002</v>
      </c>
      <c r="AY9">
        <f>ROUND(_xlfn.XLOOKUP(Table25[[#This Row],[Material]],Price_tbl[Column1],Price_tbl[Prices],0,0,1)/Table25[[#This Row],[Sqm]],0)</f>
        <v>3364</v>
      </c>
      <c r="BA9" t="s">
        <v>156</v>
      </c>
      <c r="BC9" t="s">
        <v>157</v>
      </c>
      <c r="BE9" t="s">
        <v>158</v>
      </c>
      <c r="BI9" t="s">
        <v>159</v>
      </c>
    </row>
    <row r="10" spans="2:83" x14ac:dyDescent="0.35">
      <c r="B10" s="4" t="str">
        <f>IFERROR(_xlfn.TEXTJOIN("_",TRUE,Price_tbl[[#This Row],[Category]],Price_tbl[[#This Row],[Sub_category]],Price_tbl[[#This Row],[Size]],Price_tbl[[#This Row],[Unit]],Price_tbl[[#This Row],[Color]]),"")</f>
        <v>Drawer_Runner_ ordinary_10"_Pair</v>
      </c>
      <c r="C10" s="5" t="s">
        <v>4</v>
      </c>
      <c r="D10" s="5" t="s">
        <v>160</v>
      </c>
      <c r="E10" s="5" t="s">
        <v>108</v>
      </c>
      <c r="F10" s="5" t="s">
        <v>109</v>
      </c>
      <c r="G10" s="5"/>
      <c r="H10" s="6">
        <v>1000</v>
      </c>
      <c r="L10" t="s">
        <v>161</v>
      </c>
      <c r="N10" t="s">
        <v>162</v>
      </c>
      <c r="X10" t="s">
        <v>163</v>
      </c>
      <c r="AB10" t="s">
        <v>164</v>
      </c>
      <c r="AD10" t="s">
        <v>165</v>
      </c>
      <c r="AH10" t="s">
        <v>166</v>
      </c>
      <c r="AJ10" t="s">
        <v>167</v>
      </c>
      <c r="AL10" t="s">
        <v>168</v>
      </c>
      <c r="AN10" t="s">
        <v>169</v>
      </c>
      <c r="AP10" t="s">
        <v>170</v>
      </c>
      <c r="AR10" t="s">
        <v>171</v>
      </c>
      <c r="AU10" t="s">
        <v>161</v>
      </c>
      <c r="AV10">
        <v>48</v>
      </c>
      <c r="AW10">
        <v>96</v>
      </c>
      <c r="AX10">
        <f>CONVERT(Table25[[#This Row],[Length]],"in","m")*CONVERT(Table25[[#This Row],[Breadth]],"in","m")</f>
        <v>2.9728972800000002</v>
      </c>
      <c r="AY10">
        <f>ROUND(_xlfn.XLOOKUP(Table25[[#This Row],[Material]],Price_tbl[Column1],Price_tbl[Prices],0,0,1)/Table25[[#This Row],[Sqm]],0)</f>
        <v>6727</v>
      </c>
      <c r="BA10" t="s">
        <v>172</v>
      </c>
      <c r="BE10" t="s">
        <v>173</v>
      </c>
      <c r="BI10" t="s">
        <v>174</v>
      </c>
    </row>
    <row r="11" spans="2:83" x14ac:dyDescent="0.35">
      <c r="B11" s="4" t="str">
        <f>IFERROR(_xlfn.TEXTJOIN("_",TRUE,Price_tbl[[#This Row],[Category]],Price_tbl[[#This Row],[Sub_category]],Price_tbl[[#This Row],[Size]],Price_tbl[[#This Row],[Unit]],Price_tbl[[#This Row],[Color]]),"")</f>
        <v>Drawer_Runner_ ordinary_12"_Pair</v>
      </c>
      <c r="C11" s="5" t="s">
        <v>4</v>
      </c>
      <c r="D11" s="5" t="s">
        <v>160</v>
      </c>
      <c r="E11" s="5" t="s">
        <v>124</v>
      </c>
      <c r="F11" s="5" t="s">
        <v>109</v>
      </c>
      <c r="G11" s="5"/>
      <c r="H11" s="6">
        <v>1100</v>
      </c>
      <c r="L11" t="s">
        <v>175</v>
      </c>
      <c r="N11" t="s">
        <v>176</v>
      </c>
      <c r="X11" t="s">
        <v>177</v>
      </c>
      <c r="AB11" t="s">
        <v>178</v>
      </c>
      <c r="AD11" t="s">
        <v>179</v>
      </c>
      <c r="AH11" t="s">
        <v>180</v>
      </c>
      <c r="AJ11" t="s">
        <v>181</v>
      </c>
      <c r="AL11" t="s">
        <v>182</v>
      </c>
      <c r="AN11" t="s">
        <v>183</v>
      </c>
      <c r="AP11" t="s">
        <v>184</v>
      </c>
      <c r="AR11" t="s">
        <v>185</v>
      </c>
      <c r="AU11" t="s">
        <v>175</v>
      </c>
      <c r="AV11">
        <v>48</v>
      </c>
      <c r="AW11">
        <v>96</v>
      </c>
      <c r="AX11">
        <f>CONVERT(Table25[[#This Row],[Length]],"in","m")*CONVERT(Table25[[#This Row],[Breadth]],"in","m")</f>
        <v>2.9728972800000002</v>
      </c>
      <c r="AY11">
        <f>ROUND(_xlfn.XLOOKUP(Table25[[#This Row],[Material]],Price_tbl[Column1],Price_tbl[Prices],0,0,1)/Table25[[#This Row],[Sqm]],0)</f>
        <v>10428</v>
      </c>
      <c r="BA11" t="s">
        <v>186</v>
      </c>
      <c r="BE11" t="s">
        <v>187</v>
      </c>
      <c r="BI11" t="s">
        <v>188</v>
      </c>
    </row>
    <row r="12" spans="2:83" x14ac:dyDescent="0.35">
      <c r="B12" s="4" t="str">
        <f>IFERROR(_xlfn.TEXTJOIN("_",TRUE,Price_tbl[[#This Row],[Category]],Price_tbl[[#This Row],[Sub_category]],Price_tbl[[#This Row],[Size]],Price_tbl[[#This Row],[Unit]],Price_tbl[[#This Row],[Color]]),"")</f>
        <v>Drawer_Runner_ ordinary_14"_Pair</v>
      </c>
      <c r="C12" s="5" t="s">
        <v>4</v>
      </c>
      <c r="D12" s="5" t="s">
        <v>160</v>
      </c>
      <c r="E12" s="5" t="s">
        <v>136</v>
      </c>
      <c r="F12" s="5" t="s">
        <v>109</v>
      </c>
      <c r="G12" s="5"/>
      <c r="H12" s="6">
        <v>1300</v>
      </c>
      <c r="L12" t="s">
        <v>189</v>
      </c>
      <c r="N12" t="s">
        <v>190</v>
      </c>
      <c r="X12" t="s">
        <v>191</v>
      </c>
      <c r="AB12" t="s">
        <v>192</v>
      </c>
      <c r="AD12" t="s">
        <v>193</v>
      </c>
      <c r="AH12" t="s">
        <v>194</v>
      </c>
      <c r="AJ12" t="s">
        <v>195</v>
      </c>
      <c r="AL12" t="s">
        <v>196</v>
      </c>
      <c r="AN12" t="s">
        <v>197</v>
      </c>
      <c r="AP12" t="s">
        <v>198</v>
      </c>
      <c r="AR12" t="s">
        <v>199</v>
      </c>
      <c r="AU12" t="s">
        <v>189</v>
      </c>
      <c r="AV12">
        <v>48</v>
      </c>
      <c r="AW12">
        <v>96</v>
      </c>
      <c r="AX12">
        <f>CONVERT(Table25[[#This Row],[Length]],"in","m")*CONVERT(Table25[[#This Row],[Breadth]],"in","m")</f>
        <v>2.9728972800000002</v>
      </c>
      <c r="AY12">
        <f>ROUND(_xlfn.XLOOKUP(Table25[[#This Row],[Material]],Price_tbl[Column1],Price_tbl[Prices],0,0,1)/Table25[[#This Row],[Sqm]],0)</f>
        <v>7400</v>
      </c>
      <c r="BA12" t="s">
        <v>200</v>
      </c>
      <c r="BE12" t="s">
        <v>201</v>
      </c>
      <c r="BI12" t="s">
        <v>202</v>
      </c>
    </row>
    <row r="13" spans="2:83" x14ac:dyDescent="0.35">
      <c r="B13" s="4" t="str">
        <f>IFERROR(_xlfn.TEXTJOIN("_",TRUE,Price_tbl[[#This Row],[Category]],Price_tbl[[#This Row],[Sub_category]],Price_tbl[[#This Row],[Size]],Price_tbl[[#This Row],[Unit]],Price_tbl[[#This Row],[Color]]),"")</f>
        <v>Drawer_Runner_ ordinary_16"_Pair</v>
      </c>
      <c r="C13" s="5" t="s">
        <v>4</v>
      </c>
      <c r="D13" s="5" t="s">
        <v>160</v>
      </c>
      <c r="E13" s="5" t="s">
        <v>149</v>
      </c>
      <c r="F13" s="5" t="s">
        <v>109</v>
      </c>
      <c r="G13" s="5"/>
      <c r="H13" s="6">
        <v>1700</v>
      </c>
      <c r="L13" t="s">
        <v>203</v>
      </c>
      <c r="N13" t="s">
        <v>204</v>
      </c>
      <c r="R13" t="s">
        <v>21</v>
      </c>
      <c r="X13" t="s">
        <v>205</v>
      </c>
      <c r="AB13" t="s">
        <v>206</v>
      </c>
      <c r="AD13" t="s">
        <v>207</v>
      </c>
      <c r="AH13" t="s">
        <v>208</v>
      </c>
      <c r="AJ13" t="s">
        <v>209</v>
      </c>
      <c r="AL13" t="s">
        <v>210</v>
      </c>
      <c r="AP13" t="s">
        <v>211</v>
      </c>
      <c r="AU13" t="s">
        <v>203</v>
      </c>
      <c r="AV13">
        <v>48</v>
      </c>
      <c r="AW13">
        <v>96</v>
      </c>
      <c r="AX13">
        <f>CONVERT(Table25[[#This Row],[Length]],"in","m")*CONVERT(Table25[[#This Row],[Breadth]],"in","m")</f>
        <v>2.9728972800000002</v>
      </c>
      <c r="AY13">
        <f>ROUND(_xlfn.XLOOKUP(Table25[[#This Row],[Material]],Price_tbl[Column1],Price_tbl[Prices],0,0,1)/Table25[[#This Row],[Sqm]],0)</f>
        <v>10091</v>
      </c>
      <c r="BA13" t="s">
        <v>212</v>
      </c>
    </row>
    <row r="14" spans="2:83" x14ac:dyDescent="0.35">
      <c r="B14" s="4" t="str">
        <f>IFERROR(_xlfn.TEXTJOIN("_",TRUE,Price_tbl[[#This Row],[Category]],Price_tbl[[#This Row],[Sub_category]],Price_tbl[[#This Row],[Size]],Price_tbl[[#This Row],[Unit]],Price_tbl[[#This Row],[Color]]),"")</f>
        <v>Edge_tape_matte_Yard_Black Wenge</v>
      </c>
      <c r="C14" s="5" t="s">
        <v>5</v>
      </c>
      <c r="D14" s="5" t="s">
        <v>213</v>
      </c>
      <c r="E14" s="5"/>
      <c r="F14" s="5" t="s">
        <v>214</v>
      </c>
      <c r="G14" s="5" t="s">
        <v>215</v>
      </c>
      <c r="H14" s="6">
        <v>100</v>
      </c>
      <c r="L14" t="s">
        <v>216</v>
      </c>
      <c r="N14" t="s">
        <v>217</v>
      </c>
      <c r="R14" t="s">
        <v>3</v>
      </c>
      <c r="X14" t="s">
        <v>218</v>
      </c>
      <c r="AB14" t="s">
        <v>219</v>
      </c>
      <c r="AD14" t="s">
        <v>220</v>
      </c>
      <c r="AH14" t="s">
        <v>221</v>
      </c>
      <c r="AL14" t="s">
        <v>222</v>
      </c>
      <c r="AP14" t="s">
        <v>223</v>
      </c>
      <c r="AU14" t="s">
        <v>216</v>
      </c>
      <c r="AV14">
        <v>48</v>
      </c>
      <c r="AW14">
        <v>96</v>
      </c>
      <c r="AX14">
        <f>CONVERT(Table25[[#This Row],[Length]],"in","m")*CONVERT(Table25[[#This Row],[Breadth]],"in","m")</f>
        <v>2.9728972800000002</v>
      </c>
      <c r="AY14">
        <f>ROUND(_xlfn.XLOOKUP(Table25[[#This Row],[Material]],Price_tbl[Column1],Price_tbl[Prices],0,0,1)/Table25[[#This Row],[Sqm]],0)</f>
        <v>12446</v>
      </c>
      <c r="BA14" t="s">
        <v>157</v>
      </c>
    </row>
    <row r="15" spans="2:83" x14ac:dyDescent="0.35">
      <c r="B15" s="4" t="str">
        <f>IFERROR(_xlfn.TEXTJOIN("_",TRUE,Price_tbl[[#This Row],[Category]],Price_tbl[[#This Row],[Sub_category]],Price_tbl[[#This Row],[Size]],Price_tbl[[#This Row],[Unit]],Price_tbl[[#This Row],[Color]]),"")</f>
        <v>Edge_tape_matte_ Roll_Black</v>
      </c>
      <c r="C15" s="5" t="s">
        <v>5</v>
      </c>
      <c r="D15" s="5" t="s">
        <v>213</v>
      </c>
      <c r="E15" s="5"/>
      <c r="F15" s="5" t="s">
        <v>224</v>
      </c>
      <c r="G15" s="5" t="s">
        <v>225</v>
      </c>
      <c r="H15" s="6"/>
      <c r="L15" t="s">
        <v>226</v>
      </c>
      <c r="N15" t="s">
        <v>227</v>
      </c>
      <c r="R15" t="s">
        <v>4</v>
      </c>
      <c r="X15" t="s">
        <v>228</v>
      </c>
      <c r="AB15" t="s">
        <v>229</v>
      </c>
      <c r="AD15" t="s">
        <v>230</v>
      </c>
      <c r="AH15" t="s">
        <v>231</v>
      </c>
      <c r="AL15" t="s">
        <v>232</v>
      </c>
      <c r="AP15" t="s">
        <v>233</v>
      </c>
      <c r="AU15" t="s">
        <v>226</v>
      </c>
      <c r="AV15">
        <v>48</v>
      </c>
      <c r="AW15">
        <v>96</v>
      </c>
      <c r="AX15">
        <f>CONVERT(Table25[[#This Row],[Length]],"in","m")*CONVERT(Table25[[#This Row],[Breadth]],"in","m")</f>
        <v>2.9728972800000002</v>
      </c>
      <c r="AY15">
        <f>ROUND(_xlfn.XLOOKUP(Table25[[#This Row],[Material]],Price_tbl[Column1],Price_tbl[Prices],0,0,1)/Table25[[#This Row],[Sqm]],0)</f>
        <v>19173</v>
      </c>
      <c r="BA15" t="s">
        <v>234</v>
      </c>
    </row>
    <row r="16" spans="2:83" x14ac:dyDescent="0.35">
      <c r="B16" s="4" t="str">
        <f>IFERROR(_xlfn.TEXTJOIN("_",TRUE,Price_tbl[[#This Row],[Category]],Price_tbl[[#This Row],[Sub_category]],Price_tbl[[#This Row],[Size]],Price_tbl[[#This Row],[Unit]],Price_tbl[[#This Row],[Color]]),"")</f>
        <v>Edge_tape_ gloss_Yard_Offwhite</v>
      </c>
      <c r="C16" s="5" t="s">
        <v>5</v>
      </c>
      <c r="D16" s="5" t="s">
        <v>235</v>
      </c>
      <c r="E16" s="5"/>
      <c r="F16" s="5" t="s">
        <v>214</v>
      </c>
      <c r="G16" s="5" t="s">
        <v>236</v>
      </c>
      <c r="H16" s="6">
        <v>100</v>
      </c>
      <c r="L16" t="s">
        <v>237</v>
      </c>
      <c r="N16" t="s">
        <v>238</v>
      </c>
      <c r="R16" t="s">
        <v>5</v>
      </c>
      <c r="X16" t="s">
        <v>239</v>
      </c>
      <c r="AB16" t="s">
        <v>240</v>
      </c>
      <c r="AD16" t="s">
        <v>241</v>
      </c>
      <c r="AP16" t="s">
        <v>242</v>
      </c>
      <c r="AU16" t="s">
        <v>237</v>
      </c>
      <c r="AV16">
        <v>48</v>
      </c>
      <c r="AW16">
        <v>96</v>
      </c>
      <c r="AX16">
        <f>CONVERT(Table25[[#This Row],[Length]],"in","m")*CONVERT(Table25[[#This Row],[Breadth]],"in","m")</f>
        <v>2.9728972800000002</v>
      </c>
      <c r="AY16">
        <f>ROUND(_xlfn.XLOOKUP(Table25[[#This Row],[Material]],Price_tbl[Column1],Price_tbl[Prices],0,0,1)/Table25[[#This Row],[Sqm]],0)</f>
        <v>0</v>
      </c>
    </row>
    <row r="17" spans="2:51" x14ac:dyDescent="0.35">
      <c r="B17" s="4" t="str">
        <f>IFERROR(_xlfn.TEXTJOIN("_",TRUE,Price_tbl[[#This Row],[Category]],Price_tbl[[#This Row],[Sub_category]],Price_tbl[[#This Row],[Size]],Price_tbl[[#This Row],[Unit]],Price_tbl[[#This Row],[Color]]),"")</f>
        <v>Edge_tape_ gloss_ Roll_Offwhite</v>
      </c>
      <c r="C17" s="5" t="s">
        <v>5</v>
      </c>
      <c r="D17" s="5" t="s">
        <v>235</v>
      </c>
      <c r="E17" s="5"/>
      <c r="F17" s="5" t="s">
        <v>224</v>
      </c>
      <c r="G17" s="5" t="s">
        <v>236</v>
      </c>
      <c r="H17" s="6"/>
      <c r="L17" t="s">
        <v>243</v>
      </c>
      <c r="N17" t="s">
        <v>244</v>
      </c>
      <c r="R17" t="s">
        <v>6</v>
      </c>
      <c r="X17" t="s">
        <v>245</v>
      </c>
      <c r="AB17" t="s">
        <v>246</v>
      </c>
      <c r="AD17" t="s">
        <v>247</v>
      </c>
      <c r="AP17" t="s">
        <v>248</v>
      </c>
      <c r="AU17" t="s">
        <v>243</v>
      </c>
      <c r="AV17">
        <v>48</v>
      </c>
      <c r="AW17">
        <v>96</v>
      </c>
      <c r="AX17">
        <f>CONVERT(Table25[[#This Row],[Length]],"in","m")*CONVERT(Table25[[#This Row],[Breadth]],"in","m")</f>
        <v>2.9728972800000002</v>
      </c>
      <c r="AY17">
        <f>ROUND(_xlfn.XLOOKUP(Table25[[#This Row],[Material]],Price_tbl[Column1],Price_tbl[Prices],0,0,1)/Table25[[#This Row],[Sqm]],0)</f>
        <v>0</v>
      </c>
    </row>
    <row r="18" spans="2:51" x14ac:dyDescent="0.35">
      <c r="B18" s="4" t="str">
        <f>IFERROR(_xlfn.TEXTJOIN("_",TRUE,Price_tbl[[#This Row],[Category]],Price_tbl[[#This Row],[Sub_category]],Price_tbl[[#This Row],[Size]],Price_tbl[[#This Row],[Unit]],Price_tbl[[#This Row],[Color]]),"")</f>
        <v>Edge_tape_gloss_Yard_Gold</v>
      </c>
      <c r="C18" s="5" t="s">
        <v>5</v>
      </c>
      <c r="D18" s="5" t="s">
        <v>249</v>
      </c>
      <c r="E18" s="5"/>
      <c r="F18" s="5" t="s">
        <v>214</v>
      </c>
      <c r="G18" s="5" t="s">
        <v>71</v>
      </c>
      <c r="H18" s="6">
        <v>400</v>
      </c>
      <c r="L18" t="s">
        <v>250</v>
      </c>
      <c r="N18" t="s">
        <v>251</v>
      </c>
      <c r="R18" t="s">
        <v>7</v>
      </c>
      <c r="X18" t="s">
        <v>252</v>
      </c>
      <c r="AB18" t="s">
        <v>253</v>
      </c>
      <c r="AD18" t="s">
        <v>254</v>
      </c>
      <c r="AP18" t="s">
        <v>255</v>
      </c>
      <c r="AU18" t="s">
        <v>250</v>
      </c>
      <c r="AV18">
        <v>6</v>
      </c>
      <c r="AW18">
        <v>108</v>
      </c>
      <c r="AX18">
        <f>CONVERT(Table25[[#This Row],[Length]],"in","m")*CONVERT(Table25[[#This Row],[Breadth]],"in","m")</f>
        <v>0.41806367999999999</v>
      </c>
      <c r="AY18">
        <f>ROUND(_xlfn.XLOOKUP(Table25[[#This Row],[Material]],Price_tbl[Column1],Price_tbl[Prices],0,0,1)/Table25[[#This Row],[Sqm]],0)</f>
        <v>14352</v>
      </c>
    </row>
    <row r="19" spans="2:51" x14ac:dyDescent="0.35">
      <c r="B19" s="4" t="str">
        <f>IFERROR(_xlfn.TEXTJOIN("_",TRUE,Price_tbl[[#This Row],[Category]],Price_tbl[[#This Row],[Sub_category]],Price_tbl[[#This Row],[Size]],Price_tbl[[#This Row],[Unit]],Price_tbl[[#This Row],[Color]]),"")</f>
        <v>Nail_Airgun_0.5"_Pound weight</v>
      </c>
      <c r="C19" s="5" t="s">
        <v>6</v>
      </c>
      <c r="D19" s="5" t="s">
        <v>256</v>
      </c>
      <c r="E19" s="5" t="s">
        <v>257</v>
      </c>
      <c r="F19" s="5" t="s">
        <v>258</v>
      </c>
      <c r="G19" s="5"/>
      <c r="H19" s="6"/>
      <c r="L19" t="s">
        <v>259</v>
      </c>
      <c r="N19" t="s">
        <v>260</v>
      </c>
      <c r="R19" t="s">
        <v>8</v>
      </c>
      <c r="X19" t="s">
        <v>218</v>
      </c>
      <c r="AB19" t="s">
        <v>261</v>
      </c>
      <c r="AD19" t="s">
        <v>262</v>
      </c>
      <c r="AP19" t="s">
        <v>263</v>
      </c>
      <c r="AU19" t="s">
        <v>259</v>
      </c>
      <c r="AV19">
        <v>48</v>
      </c>
      <c r="AW19">
        <v>96</v>
      </c>
      <c r="AX19">
        <f>CONVERT(Table25[[#This Row],[Length]],"in","m")*CONVERT(Table25[[#This Row],[Breadth]],"in","m")</f>
        <v>2.9728972800000002</v>
      </c>
      <c r="AY19">
        <f>ROUND(_xlfn.XLOOKUP(Table25[[#This Row],[Material]],Price_tbl[Column1],Price_tbl[Prices],0,0,1)/Table25[[#This Row],[Sqm]],0)</f>
        <v>0</v>
      </c>
    </row>
    <row r="20" spans="2:51" x14ac:dyDescent="0.35">
      <c r="B20" s="4" t="str">
        <f>IFERROR(_xlfn.TEXTJOIN("_",TRUE,Price_tbl[[#This Row],[Category]],Price_tbl[[#This Row],[Sub_category]],Price_tbl[[#This Row],[Size]],Price_tbl[[#This Row],[Unit]],Price_tbl[[#This Row],[Color]]),"")</f>
        <v>Nail_Airgun_1"_Pound weight</v>
      </c>
      <c r="C20" s="5" t="s">
        <v>6</v>
      </c>
      <c r="D20" s="5" t="s">
        <v>256</v>
      </c>
      <c r="E20" s="5" t="s">
        <v>264</v>
      </c>
      <c r="F20" s="5" t="s">
        <v>258</v>
      </c>
      <c r="G20" s="5"/>
      <c r="H20" s="6"/>
      <c r="L20" t="s">
        <v>265</v>
      </c>
      <c r="N20" t="s">
        <v>266</v>
      </c>
      <c r="R20" t="s">
        <v>9</v>
      </c>
      <c r="X20" t="s">
        <v>228</v>
      </c>
      <c r="AB20" t="s">
        <v>267</v>
      </c>
      <c r="AD20" t="s">
        <v>268</v>
      </c>
      <c r="AP20" t="s">
        <v>269</v>
      </c>
      <c r="AU20" t="s">
        <v>28</v>
      </c>
      <c r="AV20">
        <v>60</v>
      </c>
      <c r="AW20">
        <v>75</v>
      </c>
      <c r="AX20">
        <f>CONVERT(Table25[[#This Row],[Length]],"in","m")*CONVERT(Table25[[#This Row],[Breadth]],"in","m")</f>
        <v>2.9032200000000001</v>
      </c>
      <c r="AY20">
        <f>ROUND(_xlfn.XLOOKUP(Table25[[#This Row],[Material]],Price_tbl[Column1],Price_tbl[Prices],0,0,1)/Table25[[#This Row],[Sqm]],0)</f>
        <v>0</v>
      </c>
    </row>
    <row r="21" spans="2:51" x14ac:dyDescent="0.35">
      <c r="B21" s="4" t="str">
        <f>IFERROR(_xlfn.TEXTJOIN("_",TRUE,Price_tbl[[#This Row],[Category]],Price_tbl[[#This Row],[Sub_category]],Price_tbl[[#This Row],[Size]],Price_tbl[[#This Row],[Unit]],Price_tbl[[#This Row],[Color]]),"")</f>
        <v>Nail_Airgun_1.5"_Pound weight</v>
      </c>
      <c r="C21" s="5" t="s">
        <v>6</v>
      </c>
      <c r="D21" s="5" t="s">
        <v>256</v>
      </c>
      <c r="E21" s="5" t="s">
        <v>270</v>
      </c>
      <c r="F21" s="5" t="s">
        <v>258</v>
      </c>
      <c r="G21" s="5"/>
      <c r="H21" s="6"/>
      <c r="N21" t="s">
        <v>271</v>
      </c>
      <c r="R21" t="s">
        <v>10</v>
      </c>
      <c r="X21" t="s">
        <v>239</v>
      </c>
      <c r="AB21" t="s">
        <v>272</v>
      </c>
      <c r="AD21" t="s">
        <v>273</v>
      </c>
      <c r="AP21" t="s">
        <v>274</v>
      </c>
      <c r="AU21" t="s">
        <v>51</v>
      </c>
      <c r="AV21">
        <v>60</v>
      </c>
      <c r="AW21">
        <v>75</v>
      </c>
      <c r="AX21">
        <f>CONVERT(Table25[[#This Row],[Length]],"in","m")*CONVERT(Table25[[#This Row],[Breadth]],"in","m")</f>
        <v>2.9032200000000001</v>
      </c>
      <c r="AY21">
        <f>ROUND(_xlfn.XLOOKUP(Table25[[#This Row],[Material]],Price_tbl[Column1],Price_tbl[Prices],0,0,1)/Table25[[#This Row],[Sqm]],0)</f>
        <v>1206</v>
      </c>
    </row>
    <row r="22" spans="2:51" x14ac:dyDescent="0.35">
      <c r="B22" s="4" t="str">
        <f>IFERROR(_xlfn.TEXTJOIN("_",TRUE,Price_tbl[[#This Row],[Category]],Price_tbl[[#This Row],[Sub_category]],Price_tbl[[#This Row],[Size]],Price_tbl[[#This Row],[Unit]],Price_tbl[[#This Row],[Color]]),"")</f>
        <v>Nail_Airgun_2"_Pound weight</v>
      </c>
      <c r="C22" s="5" t="s">
        <v>6</v>
      </c>
      <c r="D22" s="5" t="s">
        <v>256</v>
      </c>
      <c r="E22" s="5" t="s">
        <v>275</v>
      </c>
      <c r="F22" s="5" t="s">
        <v>258</v>
      </c>
      <c r="G22" s="5"/>
      <c r="H22" s="6"/>
      <c r="N22" t="s">
        <v>276</v>
      </c>
      <c r="R22" t="s">
        <v>11</v>
      </c>
      <c r="X22" t="s">
        <v>245</v>
      </c>
      <c r="AB22" t="s">
        <v>277</v>
      </c>
      <c r="AD22" t="s">
        <v>278</v>
      </c>
      <c r="AP22" t="s">
        <v>279</v>
      </c>
      <c r="AU22" t="s">
        <v>73</v>
      </c>
      <c r="AV22">
        <v>60</v>
      </c>
      <c r="AW22">
        <v>75</v>
      </c>
      <c r="AX22">
        <f>CONVERT(Table25[[#This Row],[Length]],"in","m")*CONVERT(Table25[[#This Row],[Breadth]],"in","m")</f>
        <v>2.9032200000000001</v>
      </c>
      <c r="AY22">
        <f>ROUND(_xlfn.XLOOKUP(Table25[[#This Row],[Material]],Price_tbl[Column1],Price_tbl[Prices],0,0,1)/Table25[[#This Row],[Sqm]],0)</f>
        <v>0</v>
      </c>
    </row>
    <row r="23" spans="2:51" x14ac:dyDescent="0.35">
      <c r="B23" s="4" t="str">
        <f>IFERROR(_xlfn.TEXTJOIN("_",TRUE,Price_tbl[[#This Row],[Category]],Price_tbl[[#This Row],[Sub_category]],Price_tbl[[#This Row],[Size]],Price_tbl[[#This Row],[Unit]],Price_tbl[[#This Row],[Color]]),"")</f>
        <v>Nail_Airgun_2.5"_Pound weight</v>
      </c>
      <c r="C23" s="5" t="s">
        <v>6</v>
      </c>
      <c r="D23" s="5" t="s">
        <v>256</v>
      </c>
      <c r="E23" s="5" t="s">
        <v>280</v>
      </c>
      <c r="F23" s="5" t="s">
        <v>258</v>
      </c>
      <c r="G23" s="5"/>
      <c r="H23" s="6"/>
      <c r="N23" t="s">
        <v>281</v>
      </c>
      <c r="R23" t="s">
        <v>12</v>
      </c>
      <c r="X23" t="s">
        <v>252</v>
      </c>
      <c r="AB23" t="s">
        <v>282</v>
      </c>
      <c r="AD23" t="s">
        <v>283</v>
      </c>
      <c r="AP23" t="s">
        <v>284</v>
      </c>
      <c r="AU23" t="s">
        <v>92</v>
      </c>
      <c r="AV23">
        <v>60</v>
      </c>
      <c r="AW23">
        <v>75</v>
      </c>
      <c r="AX23">
        <f>CONVERT(Table25[[#This Row],[Length]],"in","m")*CONVERT(Table25[[#This Row],[Breadth]],"in","m")</f>
        <v>2.9032200000000001</v>
      </c>
      <c r="AY23">
        <f>ROUND(_xlfn.XLOOKUP(Table25[[#This Row],[Material]],Price_tbl[Column1],Price_tbl[Prices],0,0,1)/Table25[[#This Row],[Sqm]],0)</f>
        <v>2239</v>
      </c>
    </row>
    <row r="24" spans="2:51" x14ac:dyDescent="0.35">
      <c r="B24" s="4" t="str">
        <f>IFERROR(_xlfn.TEXTJOIN("_",TRUE,Price_tbl[[#This Row],[Category]],Price_tbl[[#This Row],[Sub_category]],Price_tbl[[#This Row],[Size]],Price_tbl[[#This Row],[Unit]],Price_tbl[[#This Row],[Color]]),"")</f>
        <v>Nail_Airgun_2.5"_Pound weight</v>
      </c>
      <c r="C24" s="5" t="s">
        <v>6</v>
      </c>
      <c r="D24" s="5" t="s">
        <v>256</v>
      </c>
      <c r="E24" s="5" t="s">
        <v>280</v>
      </c>
      <c r="F24" s="5" t="s">
        <v>258</v>
      </c>
      <c r="G24" s="5"/>
      <c r="H24" s="6"/>
      <c r="N24" t="s">
        <v>285</v>
      </c>
      <c r="R24" t="s">
        <v>171</v>
      </c>
      <c r="AD24" t="s">
        <v>286</v>
      </c>
      <c r="AP24" t="s">
        <v>287</v>
      </c>
      <c r="AU24" t="s">
        <v>111</v>
      </c>
      <c r="AV24">
        <v>60</v>
      </c>
      <c r="AW24">
        <v>75</v>
      </c>
      <c r="AX24">
        <f>CONVERT(Table25[[#This Row],[Length]],"in","m")*CONVERT(Table25[[#This Row],[Breadth]],"in","m")</f>
        <v>2.9032200000000001</v>
      </c>
      <c r="AY24">
        <f>ROUND(_xlfn.XLOOKUP(Table25[[#This Row],[Material]],Price_tbl[Column1],Price_tbl[Prices],0,0,1)/Table25[[#This Row],[Sqm]],0)</f>
        <v>0</v>
      </c>
    </row>
    <row r="25" spans="2:51" x14ac:dyDescent="0.35">
      <c r="B25" s="4" t="str">
        <f>IFERROR(_xlfn.TEXTJOIN("_",TRUE,Price_tbl[[#This Row],[Category]],Price_tbl[[#This Row],[Sub_category]],Price_tbl[[#This Row],[Size]],Price_tbl[[#This Row],[Unit]],Price_tbl[[#This Row],[Color]]),"")</f>
        <v>Nail_ Hammer_0.5"_ bag</v>
      </c>
      <c r="C25" s="5" t="s">
        <v>6</v>
      </c>
      <c r="D25" s="5" t="s">
        <v>288</v>
      </c>
      <c r="E25" s="5" t="s">
        <v>257</v>
      </c>
      <c r="F25" s="5" t="s">
        <v>289</v>
      </c>
      <c r="G25" s="5"/>
      <c r="H25" s="6"/>
      <c r="N25" t="s">
        <v>290</v>
      </c>
      <c r="R25" t="s">
        <v>13</v>
      </c>
      <c r="AD25" t="s">
        <v>291</v>
      </c>
      <c r="AP25" t="s">
        <v>292</v>
      </c>
      <c r="AU25" t="s">
        <v>126</v>
      </c>
      <c r="AV25">
        <v>60</v>
      </c>
      <c r="AW25">
        <v>75</v>
      </c>
      <c r="AX25">
        <f>CONVERT(Table25[[#This Row],[Length]],"in","m")*CONVERT(Table25[[#This Row],[Breadth]],"in","m")</f>
        <v>2.9032200000000001</v>
      </c>
      <c r="AY25">
        <f>ROUND(_xlfn.XLOOKUP(Table25[[#This Row],[Material]],Price_tbl[Column1],Price_tbl[Prices],0,0,1)/Table25[[#This Row],[Sqm]],0)</f>
        <v>5683</v>
      </c>
    </row>
    <row r="26" spans="2:51" x14ac:dyDescent="0.35">
      <c r="B26" s="4" t="str">
        <f>IFERROR(_xlfn.TEXTJOIN("_",TRUE,Price_tbl[[#This Row],[Category]],Price_tbl[[#This Row],[Sub_category]],Price_tbl[[#This Row],[Size]],Price_tbl[[#This Row],[Unit]],Price_tbl[[#This Row],[Color]]),"")</f>
        <v>Nail_ Hammer_1"_ bag</v>
      </c>
      <c r="C26" s="5" t="s">
        <v>6</v>
      </c>
      <c r="D26" s="5" t="s">
        <v>288</v>
      </c>
      <c r="E26" s="5" t="s">
        <v>264</v>
      </c>
      <c r="F26" s="5" t="s">
        <v>289</v>
      </c>
      <c r="G26" s="5"/>
      <c r="H26" s="6"/>
      <c r="N26" t="s">
        <v>293</v>
      </c>
      <c r="R26" t="s">
        <v>14</v>
      </c>
      <c r="AD26" t="s">
        <v>294</v>
      </c>
      <c r="AP26" t="s">
        <v>295</v>
      </c>
      <c r="AU26" t="s">
        <v>138</v>
      </c>
      <c r="AV26">
        <v>60</v>
      </c>
      <c r="AW26">
        <v>75</v>
      </c>
      <c r="AX26">
        <f>CONVERT(Table25[[#This Row],[Length]],"in","m")*CONVERT(Table25[[#This Row],[Breadth]],"in","m")</f>
        <v>2.9032200000000001</v>
      </c>
      <c r="AY26">
        <f>ROUND(_xlfn.XLOOKUP(Table25[[#This Row],[Material]],Price_tbl[Column1],Price_tbl[Prices],0,0,1)/Table25[[#This Row],[Sqm]],0)</f>
        <v>0</v>
      </c>
    </row>
    <row r="27" spans="2:51" x14ac:dyDescent="0.35">
      <c r="B27" s="4" t="str">
        <f>IFERROR(_xlfn.TEXTJOIN("_",TRUE,Price_tbl[[#This Row],[Category]],Price_tbl[[#This Row],[Sub_category]],Price_tbl[[#This Row],[Size]],Price_tbl[[#This Row],[Unit]],Price_tbl[[#This Row],[Color]]),"")</f>
        <v>Nail_ Hammer_1.5"_ bag</v>
      </c>
      <c r="C27" s="5" t="s">
        <v>6</v>
      </c>
      <c r="D27" s="5" t="s">
        <v>288</v>
      </c>
      <c r="E27" s="5" t="s">
        <v>270</v>
      </c>
      <c r="F27" s="5" t="s">
        <v>289</v>
      </c>
      <c r="G27" s="5"/>
      <c r="H27" s="6"/>
      <c r="N27" t="s">
        <v>296</v>
      </c>
      <c r="R27" t="s">
        <v>167</v>
      </c>
      <c r="AD27" t="s">
        <v>297</v>
      </c>
      <c r="AU27" t="s">
        <v>151</v>
      </c>
      <c r="AV27">
        <v>60</v>
      </c>
      <c r="AW27">
        <v>75</v>
      </c>
      <c r="AX27">
        <f>CONVERT(Table25[[#This Row],[Length]],"in","m")*CONVERT(Table25[[#This Row],[Breadth]],"in","m")</f>
        <v>2.9032200000000001</v>
      </c>
      <c r="AY27">
        <f>ROUND(_xlfn.XLOOKUP(Table25[[#This Row],[Material]],Price_tbl[Column1],Price_tbl[Prices],0,0,1)/Table25[[#This Row],[Sqm]],0)</f>
        <v>5167</v>
      </c>
    </row>
    <row r="28" spans="2:51" x14ac:dyDescent="0.35">
      <c r="B28" s="4" t="str">
        <f>IFERROR(_xlfn.TEXTJOIN("_",TRUE,Price_tbl[[#This Row],[Category]],Price_tbl[[#This Row],[Sub_category]],Price_tbl[[#This Row],[Size]],Price_tbl[[#This Row],[Unit]],Price_tbl[[#This Row],[Color]]),"")</f>
        <v>Nail_ Hammer_2"_ bag</v>
      </c>
      <c r="C28" s="5" t="s">
        <v>6</v>
      </c>
      <c r="D28" s="5" t="s">
        <v>288</v>
      </c>
      <c r="E28" s="5" t="s">
        <v>275</v>
      </c>
      <c r="F28" s="5" t="s">
        <v>289</v>
      </c>
      <c r="G28" s="5"/>
      <c r="H28" s="6"/>
      <c r="N28" t="s">
        <v>298</v>
      </c>
      <c r="R28" t="s">
        <v>168</v>
      </c>
      <c r="AD28" t="s">
        <v>299</v>
      </c>
      <c r="AU28" t="s">
        <v>162</v>
      </c>
      <c r="AV28">
        <v>60</v>
      </c>
      <c r="AW28">
        <v>75</v>
      </c>
      <c r="AX28">
        <f>CONVERT(Table25[[#This Row],[Length]],"in","m")*CONVERT(Table25[[#This Row],[Breadth]],"in","m")</f>
        <v>2.9032200000000001</v>
      </c>
      <c r="AY28">
        <f>ROUND(_xlfn.XLOOKUP(Table25[[#This Row],[Material]],Price_tbl[Column1],Price_tbl[Prices],0,0,1)/Table25[[#This Row],[Sqm]],0)</f>
        <v>0</v>
      </c>
    </row>
    <row r="29" spans="2:51" x14ac:dyDescent="0.35">
      <c r="B29" s="4" t="str">
        <f>IFERROR(_xlfn.TEXTJOIN("_",TRUE,Price_tbl[[#This Row],[Category]],Price_tbl[[#This Row],[Sub_category]],Price_tbl[[#This Row],[Size]],Price_tbl[[#This Row],[Unit]],Price_tbl[[#This Row],[Color]]),"")</f>
        <v>Nail_ Hammer_2.5"_ bag</v>
      </c>
      <c r="C29" s="5" t="s">
        <v>6</v>
      </c>
      <c r="D29" s="5" t="s">
        <v>288</v>
      </c>
      <c r="E29" s="5" t="s">
        <v>280</v>
      </c>
      <c r="F29" s="5" t="s">
        <v>289</v>
      </c>
      <c r="G29" s="5"/>
      <c r="H29" s="6"/>
      <c r="N29" t="s">
        <v>300</v>
      </c>
      <c r="R29" t="s">
        <v>301</v>
      </c>
      <c r="AD29" t="s">
        <v>302</v>
      </c>
      <c r="AU29" t="s">
        <v>176</v>
      </c>
      <c r="AV29">
        <v>60</v>
      </c>
      <c r="AW29">
        <v>75</v>
      </c>
      <c r="AX29">
        <f>CONVERT(Table25[[#This Row],[Length]],"in","m")*CONVERT(Table25[[#This Row],[Breadth]],"in","m")</f>
        <v>2.9032200000000001</v>
      </c>
      <c r="AY29">
        <f>ROUND(_xlfn.XLOOKUP(Table25[[#This Row],[Material]],Price_tbl[Column1],Price_tbl[Prices],0,0,1)/Table25[[#This Row],[Sqm]],0)</f>
        <v>6200</v>
      </c>
    </row>
    <row r="30" spans="2:51" x14ac:dyDescent="0.35">
      <c r="B30" s="4" t="str">
        <f>IFERROR(_xlfn.TEXTJOIN("_",TRUE,Price_tbl[[#This Row],[Category]],Price_tbl[[#This Row],[Sub_category]],Price_tbl[[#This Row],[Size]],Price_tbl[[#This Row],[Unit]],Price_tbl[[#This Row],[Color]]),"")</f>
        <v>Nail_ Hammer_3"_ bag</v>
      </c>
      <c r="C30" s="5" t="s">
        <v>6</v>
      </c>
      <c r="D30" s="5" t="s">
        <v>288</v>
      </c>
      <c r="E30" s="5" t="s">
        <v>303</v>
      </c>
      <c r="F30" s="5" t="s">
        <v>289</v>
      </c>
      <c r="G30" s="5"/>
      <c r="H30" s="6"/>
      <c r="N30" t="s">
        <v>304</v>
      </c>
      <c r="R30" t="s">
        <v>169</v>
      </c>
      <c r="AD30" t="s">
        <v>305</v>
      </c>
      <c r="AU30" t="s">
        <v>190</v>
      </c>
      <c r="AV30">
        <v>60</v>
      </c>
      <c r="AW30">
        <v>75</v>
      </c>
      <c r="AX30">
        <f>CONVERT(Table25[[#This Row],[Length]],"in","m")*CONVERT(Table25[[#This Row],[Breadth]],"in","m")</f>
        <v>2.9032200000000001</v>
      </c>
      <c r="AY30">
        <f>ROUND(_xlfn.XLOOKUP(Table25[[#This Row],[Material]],Price_tbl[Column1],Price_tbl[Prices],0,0,1)/Table25[[#This Row],[Sqm]],0)</f>
        <v>0</v>
      </c>
    </row>
    <row r="31" spans="2:51" x14ac:dyDescent="0.35">
      <c r="B31" s="4" t="str">
        <f>IFERROR(_xlfn.TEXTJOIN("_",TRUE,Price_tbl[[#This Row],[Category]],Price_tbl[[#This Row],[Sub_category]],Price_tbl[[#This Row],[Size]],Price_tbl[[#This Row],[Unit]],Price_tbl[[#This Row],[Color]]),"")</f>
        <v>Screw_Black_0.25"_Pack</v>
      </c>
      <c r="C31" s="5" t="s">
        <v>7</v>
      </c>
      <c r="D31" s="5" t="s">
        <v>225</v>
      </c>
      <c r="E31" s="5" t="s">
        <v>306</v>
      </c>
      <c r="F31" s="5" t="s">
        <v>307</v>
      </c>
      <c r="G31" s="5"/>
      <c r="H31" s="6">
        <v>1600</v>
      </c>
      <c r="N31" t="s">
        <v>308</v>
      </c>
      <c r="R31" t="s">
        <v>309</v>
      </c>
      <c r="AD31" t="s">
        <v>310</v>
      </c>
      <c r="AU31" t="s">
        <v>204</v>
      </c>
      <c r="AV31">
        <v>60</v>
      </c>
      <c r="AW31">
        <v>75</v>
      </c>
      <c r="AX31">
        <f>CONVERT(Table25[[#This Row],[Length]],"in","m")*CONVERT(Table25[[#This Row],[Breadth]],"in","m")</f>
        <v>2.9032200000000001</v>
      </c>
      <c r="AY31">
        <f>ROUND(_xlfn.XLOOKUP(Table25[[#This Row],[Material]],Price_tbl[Column1],Price_tbl[Prices],0,0,1)/Table25[[#This Row],[Sqm]],0)</f>
        <v>0</v>
      </c>
    </row>
    <row r="32" spans="2:51" x14ac:dyDescent="0.35">
      <c r="B32" s="4" t="str">
        <f>IFERROR(_xlfn.TEXTJOIN("_",TRUE,Price_tbl[[#This Row],[Category]],Price_tbl[[#This Row],[Sub_category]],Price_tbl[[#This Row],[Size]],Price_tbl[[#This Row],[Unit]],Price_tbl[[#This Row],[Color]]),"")</f>
        <v>Screw_Black_0.5"_Pack</v>
      </c>
      <c r="C32" s="5" t="s">
        <v>7</v>
      </c>
      <c r="D32" s="5" t="s">
        <v>225</v>
      </c>
      <c r="E32" s="5" t="s">
        <v>257</v>
      </c>
      <c r="F32" s="5" t="s">
        <v>307</v>
      </c>
      <c r="G32" s="5"/>
      <c r="H32" s="6">
        <v>1800</v>
      </c>
      <c r="N32" t="s">
        <v>311</v>
      </c>
      <c r="R32" t="s">
        <v>170</v>
      </c>
      <c r="AD32" t="s">
        <v>312</v>
      </c>
      <c r="AU32" t="s">
        <v>217</v>
      </c>
      <c r="AV32">
        <v>60</v>
      </c>
      <c r="AW32">
        <v>84</v>
      </c>
      <c r="AX32">
        <f>CONVERT(Table25[[#This Row],[Length]],"in","m")*CONVERT(Table25[[#This Row],[Breadth]],"in","m")</f>
        <v>3.2516064</v>
      </c>
      <c r="AY32">
        <f>ROUND(_xlfn.XLOOKUP(Table25[[#This Row],[Material]],Price_tbl[Column1],Price_tbl[Prices],0,0,1)/Table25[[#This Row],[Sqm]],0)</f>
        <v>0</v>
      </c>
    </row>
    <row r="33" spans="2:51" x14ac:dyDescent="0.35">
      <c r="B33" s="4" t="str">
        <f>IFERROR(_xlfn.TEXTJOIN("_",TRUE,Price_tbl[[#This Row],[Category]],Price_tbl[[#This Row],[Sub_category]],Price_tbl[[#This Row],[Size]],Price_tbl[[#This Row],[Unit]],Price_tbl[[#This Row],[Color]]),"")</f>
        <v>Screw_Black_0.75"_Pack</v>
      </c>
      <c r="C33" s="5" t="s">
        <v>7</v>
      </c>
      <c r="D33" s="5" t="s">
        <v>225</v>
      </c>
      <c r="E33" s="5" t="s">
        <v>313</v>
      </c>
      <c r="F33" s="5" t="s">
        <v>307</v>
      </c>
      <c r="G33" s="5"/>
      <c r="H33" s="6"/>
      <c r="N33" t="s">
        <v>314</v>
      </c>
      <c r="R33" t="s">
        <v>166</v>
      </c>
      <c r="AD33" t="s">
        <v>315</v>
      </c>
      <c r="AU33" t="s">
        <v>227</v>
      </c>
      <c r="AV33">
        <v>60</v>
      </c>
      <c r="AW33">
        <v>84</v>
      </c>
      <c r="AX33">
        <f>CONVERT(Table25[[#This Row],[Length]],"in","m")*CONVERT(Table25[[#This Row],[Breadth]],"in","m")</f>
        <v>3.2516064</v>
      </c>
      <c r="AY33">
        <f>ROUND(_xlfn.XLOOKUP(Table25[[#This Row],[Material]],Price_tbl[Column1],Price_tbl[Prices],0,0,1)/Table25[[#This Row],[Sqm]],0)</f>
        <v>2307</v>
      </c>
    </row>
    <row r="34" spans="2:51" x14ac:dyDescent="0.35">
      <c r="B34" s="4" t="str">
        <f>IFERROR(_xlfn.TEXTJOIN("_",TRUE,Price_tbl[[#This Row],[Category]],Price_tbl[[#This Row],[Sub_category]],Price_tbl[[#This Row],[Size]],Price_tbl[[#This Row],[Unit]],Price_tbl[[#This Row],[Color]]),"")</f>
        <v>Screw_Black_1"_Pack</v>
      </c>
      <c r="C34" s="5" t="s">
        <v>7</v>
      </c>
      <c r="D34" s="5" t="s">
        <v>225</v>
      </c>
      <c r="E34" s="5" t="s">
        <v>264</v>
      </c>
      <c r="F34" s="5" t="s">
        <v>307</v>
      </c>
      <c r="G34" s="5"/>
      <c r="H34" s="6"/>
      <c r="N34" t="s">
        <v>316</v>
      </c>
      <c r="R34" t="s">
        <v>0</v>
      </c>
      <c r="AD34" t="s">
        <v>317</v>
      </c>
      <c r="AU34" t="s">
        <v>238</v>
      </c>
      <c r="AV34">
        <v>60</v>
      </c>
      <c r="AW34">
        <v>84</v>
      </c>
      <c r="AX34">
        <f>CONVERT(Table25[[#This Row],[Length]],"in","m")*CONVERT(Table25[[#This Row],[Breadth]],"in","m")</f>
        <v>3.2516064</v>
      </c>
      <c r="AY34">
        <f>ROUND(_xlfn.XLOOKUP(Table25[[#This Row],[Material]],Price_tbl[Column1],Price_tbl[Prices],0,0,1)/Table25[[#This Row],[Sqm]],0)</f>
        <v>0</v>
      </c>
    </row>
    <row r="35" spans="2:51" x14ac:dyDescent="0.35">
      <c r="B35" s="4" t="str">
        <f>IFERROR(_xlfn.TEXTJOIN("_",TRUE,Price_tbl[[#This Row],[Category]],Price_tbl[[#This Row],[Sub_category]],Price_tbl[[#This Row],[Size]],Price_tbl[[#This Row],[Unit]],Price_tbl[[#This Row],[Color]]),"")</f>
        <v>Screw_Black_1.25"_Pack</v>
      </c>
      <c r="C35" s="5" t="s">
        <v>7</v>
      </c>
      <c r="D35" s="5" t="s">
        <v>225</v>
      </c>
      <c r="E35" s="5" t="s">
        <v>318</v>
      </c>
      <c r="F35" s="5" t="s">
        <v>307</v>
      </c>
      <c r="G35" s="5"/>
      <c r="H35" s="6"/>
      <c r="N35" t="s">
        <v>319</v>
      </c>
      <c r="R35" t="s">
        <v>320</v>
      </c>
      <c r="AD35" t="s">
        <v>321</v>
      </c>
      <c r="AU35" t="s">
        <v>244</v>
      </c>
      <c r="AV35">
        <v>60</v>
      </c>
      <c r="AW35">
        <v>84</v>
      </c>
      <c r="AX35">
        <f>CONVERT(Table25[[#This Row],[Length]],"in","m")*CONVERT(Table25[[#This Row],[Breadth]],"in","m")</f>
        <v>3.2516064</v>
      </c>
      <c r="AY35">
        <f>ROUND(_xlfn.XLOOKUP(Table25[[#This Row],[Material]],Price_tbl[Column1],Price_tbl[Prices],0,0,1)/Table25[[#This Row],[Sqm]],0)</f>
        <v>4613</v>
      </c>
    </row>
    <row r="36" spans="2:51" x14ac:dyDescent="0.35">
      <c r="B36" s="4" t="str">
        <f>IFERROR(_xlfn.TEXTJOIN("_",TRUE,Price_tbl[[#This Row],[Category]],Price_tbl[[#This Row],[Sub_category]],Price_tbl[[#This Row],[Size]],Price_tbl[[#This Row],[Unit]],Price_tbl[[#This Row],[Color]]),"")</f>
        <v>Screw_Black_1.5"_Pack</v>
      </c>
      <c r="C36" s="5" t="s">
        <v>7</v>
      </c>
      <c r="D36" s="5" t="s">
        <v>225</v>
      </c>
      <c r="E36" s="5" t="s">
        <v>270</v>
      </c>
      <c r="F36" s="5" t="s">
        <v>307</v>
      </c>
      <c r="G36" s="5"/>
      <c r="H36" s="6"/>
      <c r="N36" t="s">
        <v>322</v>
      </c>
      <c r="R36" t="s">
        <v>323</v>
      </c>
      <c r="AD36" t="s">
        <v>324</v>
      </c>
      <c r="AU36" t="s">
        <v>251</v>
      </c>
      <c r="AV36">
        <v>60</v>
      </c>
      <c r="AW36">
        <v>84</v>
      </c>
      <c r="AX36">
        <f>CONVERT(Table25[[#This Row],[Length]],"in","m")*CONVERT(Table25[[#This Row],[Breadth]],"in","m")</f>
        <v>3.2516064</v>
      </c>
      <c r="AY36">
        <f>ROUND(_xlfn.XLOOKUP(Table25[[#This Row],[Material]],Price_tbl[Column1],Price_tbl[Prices],0,0,1)/Table25[[#This Row],[Sqm]],0)</f>
        <v>0</v>
      </c>
    </row>
    <row r="37" spans="2:51" x14ac:dyDescent="0.35">
      <c r="B37" s="4" t="str">
        <f>IFERROR(_xlfn.TEXTJOIN("_",TRUE,Price_tbl[[#This Row],[Category]],Price_tbl[[#This Row],[Sub_category]],Price_tbl[[#This Row],[Size]],Price_tbl[[#This Row],[Unit]],Price_tbl[[#This Row],[Color]]),"")</f>
        <v>Screw_Black_2"_Pack</v>
      </c>
      <c r="C37" s="5" t="s">
        <v>7</v>
      </c>
      <c r="D37" s="5" t="s">
        <v>225</v>
      </c>
      <c r="E37" s="5" t="s">
        <v>275</v>
      </c>
      <c r="F37" s="5" t="s">
        <v>307</v>
      </c>
      <c r="G37" s="5"/>
      <c r="H37" s="6">
        <v>2000</v>
      </c>
      <c r="N37" t="s">
        <v>325</v>
      </c>
      <c r="R37" t="s">
        <v>2</v>
      </c>
      <c r="AD37" t="s">
        <v>326</v>
      </c>
      <c r="AU37" t="s">
        <v>260</v>
      </c>
      <c r="AV37">
        <v>60</v>
      </c>
      <c r="AW37">
        <v>84</v>
      </c>
      <c r="AX37">
        <f>CONVERT(Table25[[#This Row],[Length]],"in","m")*CONVERT(Table25[[#This Row],[Breadth]],"in","m")</f>
        <v>3.2516064</v>
      </c>
      <c r="AY37">
        <f>ROUND(_xlfn.XLOOKUP(Table25[[#This Row],[Material]],Price_tbl[Column1],Price_tbl[Prices],0,0,1)/Table25[[#This Row],[Sqm]],0)</f>
        <v>6920</v>
      </c>
    </row>
    <row r="38" spans="2:51" x14ac:dyDescent="0.35">
      <c r="B38" s="4" t="str">
        <f>IFERROR(_xlfn.TEXTJOIN("_",TRUE,Price_tbl[[#This Row],[Category]],Price_tbl[[#This Row],[Sub_category]],Price_tbl[[#This Row],[Size]],Price_tbl[[#This Row],[Unit]],Price_tbl[[#This Row],[Color]]),"")</f>
        <v>Fabric_Korean Leather_Yard</v>
      </c>
      <c r="C38" s="5" t="s">
        <v>8</v>
      </c>
      <c r="D38" s="8" t="s">
        <v>327</v>
      </c>
      <c r="E38" s="5"/>
      <c r="F38" s="5" t="s">
        <v>214</v>
      </c>
      <c r="G38" s="5"/>
      <c r="H38" s="6"/>
      <c r="N38" t="s">
        <v>328</v>
      </c>
      <c r="AD38" t="s">
        <v>329</v>
      </c>
      <c r="AU38" t="s">
        <v>266</v>
      </c>
      <c r="AV38">
        <v>60</v>
      </c>
      <c r="AW38">
        <v>84</v>
      </c>
      <c r="AX38">
        <f>CONVERT(Table25[[#This Row],[Length]],"in","m")*CONVERT(Table25[[#This Row],[Breadth]],"in","m")</f>
        <v>3.2516064</v>
      </c>
      <c r="AY38">
        <f>ROUND(_xlfn.XLOOKUP(Table25[[#This Row],[Material]],Price_tbl[Column1],Price_tbl[Prices],0,0,1)/Table25[[#This Row],[Sqm]],0)</f>
        <v>0</v>
      </c>
    </row>
    <row r="39" spans="2:51" x14ac:dyDescent="0.35">
      <c r="B39" s="4" t="str">
        <f>IFERROR(_xlfn.TEXTJOIN("_",TRUE,Price_tbl[[#This Row],[Category]],Price_tbl[[#This Row],[Sub_category]],Price_tbl[[#This Row],[Size]],Price_tbl[[#This Row],[Unit]],Price_tbl[[#This Row],[Color]]),"")</f>
        <v>Fabric_Suede leather_Yard</v>
      </c>
      <c r="C39" s="5" t="s">
        <v>8</v>
      </c>
      <c r="D39" s="8" t="s">
        <v>330</v>
      </c>
      <c r="E39" s="5"/>
      <c r="F39" s="5" t="s">
        <v>214</v>
      </c>
      <c r="G39" s="5"/>
      <c r="H39" s="6"/>
      <c r="N39" t="s">
        <v>331</v>
      </c>
      <c r="AD39" t="s">
        <v>332</v>
      </c>
      <c r="AU39" t="s">
        <v>271</v>
      </c>
      <c r="AV39">
        <v>60</v>
      </c>
      <c r="AW39">
        <v>84</v>
      </c>
      <c r="AX39">
        <f>CONVERT(Table25[[#This Row],[Length]],"in","m")*CONVERT(Table25[[#This Row],[Breadth]],"in","m")</f>
        <v>3.2516064</v>
      </c>
      <c r="AY39">
        <f>ROUND(_xlfn.XLOOKUP(Table25[[#This Row],[Material]],Price_tbl[Column1],Price_tbl[Prices],0,0,1)/Table25[[#This Row],[Sqm]],0)</f>
        <v>9226</v>
      </c>
    </row>
    <row r="40" spans="2:51" x14ac:dyDescent="0.35">
      <c r="B40" s="4" t="str">
        <f>IFERROR(_xlfn.TEXTJOIN("_",TRUE,Price_tbl[[#This Row],[Category]],Price_tbl[[#This Row],[Sub_category]],Price_tbl[[#This Row],[Size]],Price_tbl[[#This Row],[Unit]],Price_tbl[[#This Row],[Color]]),"")</f>
        <v>Fabric_Cloth Leather_Yard</v>
      </c>
      <c r="C40" s="5" t="s">
        <v>8</v>
      </c>
      <c r="D40" s="8" t="s">
        <v>333</v>
      </c>
      <c r="E40" s="5"/>
      <c r="F40" s="5" t="s">
        <v>214</v>
      </c>
      <c r="G40" s="5"/>
      <c r="H40" s="6"/>
      <c r="N40" t="s">
        <v>334</v>
      </c>
      <c r="AD40" t="s">
        <v>335</v>
      </c>
      <c r="AU40" t="s">
        <v>276</v>
      </c>
      <c r="AV40">
        <v>60</v>
      </c>
      <c r="AW40">
        <v>84</v>
      </c>
      <c r="AX40">
        <f>CONVERT(Table25[[#This Row],[Length]],"in","m")*CONVERT(Table25[[#This Row],[Breadth]],"in","m")</f>
        <v>3.2516064</v>
      </c>
      <c r="AY40">
        <f>ROUND(_xlfn.XLOOKUP(Table25[[#This Row],[Material]],Price_tbl[Column1],Price_tbl[Prices],0,0,1)/Table25[[#This Row],[Sqm]],0)</f>
        <v>0</v>
      </c>
    </row>
    <row r="41" spans="2:51" x14ac:dyDescent="0.35">
      <c r="B41" s="4" t="str">
        <f>IFERROR(_xlfn.TEXTJOIN("_",TRUE,Price_tbl[[#This Row],[Category]],Price_tbl[[#This Row],[Sub_category]],Price_tbl[[#This Row],[Size]],Price_tbl[[#This Row],[Unit]],Price_tbl[[#This Row],[Color]]),"")</f>
        <v>Fabric_Animal Skin_Square meter</v>
      </c>
      <c r="C41" s="5" t="s">
        <v>8</v>
      </c>
      <c r="D41" s="8" t="s">
        <v>336</v>
      </c>
      <c r="E41" s="5"/>
      <c r="F41" s="5" t="s">
        <v>337</v>
      </c>
      <c r="G41" s="5"/>
      <c r="H41" s="6"/>
      <c r="N41" t="s">
        <v>338</v>
      </c>
      <c r="AD41" t="s">
        <v>339</v>
      </c>
      <c r="AU41" t="s">
        <v>281</v>
      </c>
      <c r="AV41">
        <v>60</v>
      </c>
      <c r="AW41">
        <v>84</v>
      </c>
      <c r="AX41">
        <f>CONVERT(Table25[[#This Row],[Length]],"in","m")*CONVERT(Table25[[#This Row],[Breadth]],"in","m")</f>
        <v>3.2516064</v>
      </c>
      <c r="AY41">
        <f>ROUND(_xlfn.XLOOKUP(Table25[[#This Row],[Material]],Price_tbl[Column1],Price_tbl[Prices],0,0,1)/Table25[[#This Row],[Sqm]],0)</f>
        <v>12917</v>
      </c>
    </row>
    <row r="42" spans="2:51" x14ac:dyDescent="0.35">
      <c r="B42" s="4" t="str">
        <f>IFERROR(_xlfn.TEXTJOIN("_",TRUE,Price_tbl[[#This Row],[Category]],Price_tbl[[#This Row],[Sub_category]],Price_tbl[[#This Row],[Size]],Price_tbl[[#This Row],[Unit]],Price_tbl[[#This Row],[Color]]),"")</f>
        <v>Fabric_Velvet_Yard</v>
      </c>
      <c r="C42" s="5" t="s">
        <v>8</v>
      </c>
      <c r="D42" s="8" t="s">
        <v>340</v>
      </c>
      <c r="E42" s="5"/>
      <c r="F42" s="5" t="s">
        <v>214</v>
      </c>
      <c r="G42" s="5"/>
      <c r="H42" s="6">
        <v>1600</v>
      </c>
      <c r="N42" t="s">
        <v>341</v>
      </c>
      <c r="AD42" t="s">
        <v>342</v>
      </c>
      <c r="AU42" t="s">
        <v>285</v>
      </c>
      <c r="AV42">
        <v>60</v>
      </c>
      <c r="AW42">
        <v>84</v>
      </c>
      <c r="AX42">
        <f>CONVERT(Table25[[#This Row],[Length]],"in","m")*CONVERT(Table25[[#This Row],[Breadth]],"in","m")</f>
        <v>3.2516064</v>
      </c>
      <c r="AY42">
        <f>ROUND(_xlfn.XLOOKUP(Table25[[#This Row],[Material]],Price_tbl[Column1],Price_tbl[Prices],0,0,1)/Table25[[#This Row],[Sqm]],0)</f>
        <v>0</v>
      </c>
    </row>
    <row r="43" spans="2:51" x14ac:dyDescent="0.35">
      <c r="B43" s="4" t="str">
        <f>IFERROR(_xlfn.TEXTJOIN("_",TRUE,Price_tbl[[#This Row],[Category]],Price_tbl[[#This Row],[Sub_category]],Price_tbl[[#This Row],[Size]],Price_tbl[[#This Row],[Unit]],Price_tbl[[#This Row],[Color]]),"")</f>
        <v>Fabric_Semi Skin_Yard</v>
      </c>
      <c r="C43" s="5" t="s">
        <v>8</v>
      </c>
      <c r="D43" s="8" t="s">
        <v>343</v>
      </c>
      <c r="E43" s="5"/>
      <c r="F43" s="5" t="s">
        <v>214</v>
      </c>
      <c r="G43" s="5"/>
      <c r="H43" s="6"/>
      <c r="N43" t="s">
        <v>344</v>
      </c>
      <c r="AU43" t="s">
        <v>290</v>
      </c>
      <c r="AV43">
        <v>60</v>
      </c>
      <c r="AW43">
        <v>84</v>
      </c>
      <c r="AX43">
        <f>CONVERT(Table25[[#This Row],[Length]],"in","m")*CONVERT(Table25[[#This Row],[Breadth]],"in","m")</f>
        <v>3.2516064</v>
      </c>
      <c r="AY43">
        <f>ROUND(_xlfn.XLOOKUP(Table25[[#This Row],[Material]],Price_tbl[Column1],Price_tbl[Prices],0,0,1)/Table25[[#This Row],[Sqm]],0)</f>
        <v>16607</v>
      </c>
    </row>
    <row r="44" spans="2:51" x14ac:dyDescent="0.35">
      <c r="B44" s="4" t="str">
        <f>IFERROR(_xlfn.TEXTJOIN("_",TRUE,Price_tbl[[#This Row],[Category]],Price_tbl[[#This Row],[Sub_category]],Price_tbl[[#This Row],[Size]],Price_tbl[[#This Row],[Unit]],Price_tbl[[#This Row],[Color]]),"")</f>
        <v>Fabric_Matte_Yard</v>
      </c>
      <c r="C44" s="5" t="s">
        <v>8</v>
      </c>
      <c r="D44" s="8" t="s">
        <v>345</v>
      </c>
      <c r="E44" s="5"/>
      <c r="F44" s="5" t="s">
        <v>214</v>
      </c>
      <c r="G44" s="5"/>
      <c r="H44" s="6"/>
      <c r="N44" t="s">
        <v>346</v>
      </c>
      <c r="AU44" t="s">
        <v>293</v>
      </c>
      <c r="AV44">
        <v>60</v>
      </c>
      <c r="AW44">
        <v>84</v>
      </c>
      <c r="AX44">
        <f>CONVERT(Table25[[#This Row],[Length]],"in","m")*CONVERT(Table25[[#This Row],[Breadth]],"in","m")</f>
        <v>3.2516064</v>
      </c>
      <c r="AY44">
        <f>ROUND(_xlfn.XLOOKUP(Table25[[#This Row],[Material]],Price_tbl[Column1],Price_tbl[Prices],0,0,1)/Table25[[#This Row],[Sqm]],0)</f>
        <v>0</v>
      </c>
    </row>
    <row r="45" spans="2:51" x14ac:dyDescent="0.35">
      <c r="B45" s="4" t="str">
        <f>IFERROR(_xlfn.TEXTJOIN("_",TRUE,Price_tbl[[#This Row],[Category]],Price_tbl[[#This Row],[Sub_category]],Price_tbl[[#This Row],[Size]],Price_tbl[[#This Row],[Unit]],Price_tbl[[#This Row],[Color]]),"")</f>
        <v>Fabric_Semi boucle_Yard</v>
      </c>
      <c r="C45" s="5" t="s">
        <v>8</v>
      </c>
      <c r="D45" s="8" t="s">
        <v>347</v>
      </c>
      <c r="E45" s="5"/>
      <c r="F45" s="5" t="s">
        <v>214</v>
      </c>
      <c r="G45" s="5"/>
      <c r="H45" s="6"/>
      <c r="N45" t="s">
        <v>348</v>
      </c>
      <c r="AU45" t="s">
        <v>296</v>
      </c>
      <c r="AV45">
        <v>60</v>
      </c>
      <c r="AW45">
        <v>84</v>
      </c>
      <c r="AX45">
        <f>CONVERT(Table25[[#This Row],[Length]],"in","m")*CONVERT(Table25[[#This Row],[Breadth]],"in","m")</f>
        <v>3.2516064</v>
      </c>
      <c r="AY45">
        <f>ROUND(_xlfn.XLOOKUP(Table25[[#This Row],[Material]],Price_tbl[Column1],Price_tbl[Prices],0,0,1)/Table25[[#This Row],[Sqm]],0)</f>
        <v>3229</v>
      </c>
    </row>
    <row r="46" spans="2:51" x14ac:dyDescent="0.35">
      <c r="B46" s="4" t="str">
        <f>IFERROR(_xlfn.TEXTJOIN("_",TRUE,Price_tbl[[#This Row],[Category]],Price_tbl[[#This Row],[Sub_category]],Price_tbl[[#This Row],[Size]],Price_tbl[[#This Row],[Unit]],Price_tbl[[#This Row],[Color]]),"")</f>
        <v>Fabric_Boucle Fabric_Yard</v>
      </c>
      <c r="C46" s="5" t="s">
        <v>8</v>
      </c>
      <c r="D46" s="8" t="s">
        <v>349</v>
      </c>
      <c r="E46" s="5"/>
      <c r="F46" s="5" t="s">
        <v>214</v>
      </c>
      <c r="G46" s="5"/>
      <c r="H46" s="6"/>
      <c r="N46" t="s">
        <v>350</v>
      </c>
      <c r="AU46" t="s">
        <v>298</v>
      </c>
      <c r="AV46">
        <v>60</v>
      </c>
      <c r="AW46">
        <v>84</v>
      </c>
      <c r="AX46">
        <f>CONVERT(Table25[[#This Row],[Length]],"in","m")*CONVERT(Table25[[#This Row],[Breadth]],"in","m")</f>
        <v>3.2516064</v>
      </c>
      <c r="AY46">
        <f>ROUND(_xlfn.XLOOKUP(Table25[[#This Row],[Material]],Price_tbl[Column1],Price_tbl[Prices],0,0,1)/Table25[[#This Row],[Sqm]],0)</f>
        <v>0</v>
      </c>
    </row>
    <row r="47" spans="2:51" x14ac:dyDescent="0.35">
      <c r="B47" s="4" t="str">
        <f>IFERROR(_xlfn.TEXTJOIN("_",TRUE,Price_tbl[[#This Row],[Category]],Price_tbl[[#This Row],[Sub_category]],Price_tbl[[#This Row],[Size]],Price_tbl[[#This Row],[Unit]],Price_tbl[[#This Row],[Color]]),"")</f>
        <v>Fabric_Thick Velvet_Yard_chocolate brown</v>
      </c>
      <c r="C47" s="5" t="s">
        <v>8</v>
      </c>
      <c r="D47" s="8" t="s">
        <v>351</v>
      </c>
      <c r="E47" s="5"/>
      <c r="F47" s="5" t="s">
        <v>214</v>
      </c>
      <c r="G47" s="5" t="s">
        <v>352</v>
      </c>
      <c r="H47" s="6"/>
      <c r="N47" t="s">
        <v>353</v>
      </c>
      <c r="AU47" t="s">
        <v>300</v>
      </c>
      <c r="AV47">
        <v>60</v>
      </c>
      <c r="AW47">
        <v>84</v>
      </c>
      <c r="AX47">
        <f>CONVERT(Table25[[#This Row],[Length]],"in","m")*CONVERT(Table25[[#This Row],[Breadth]],"in","m")</f>
        <v>3.2516064</v>
      </c>
      <c r="AY47">
        <f>ROUND(_xlfn.XLOOKUP(Table25[[#This Row],[Material]],Price_tbl[Column1],Price_tbl[Prices],0,0,1)/Table25[[#This Row],[Sqm]],0)</f>
        <v>6458</v>
      </c>
    </row>
    <row r="48" spans="2:51" x14ac:dyDescent="0.35">
      <c r="B48" s="4" t="str">
        <f>IFERROR(_xlfn.TEXTJOIN("_",TRUE,Price_tbl[[#This Row],[Category]],Price_tbl[[#This Row],[Sub_category]],Price_tbl[[#This Row],[Size]],Price_tbl[[#This Row],[Unit]],Price_tbl[[#This Row],[Color]]),"")</f>
        <v>Fabric_Baft_Yard_Offwhite</v>
      </c>
      <c r="C48" s="5" t="s">
        <v>8</v>
      </c>
      <c r="D48" s="8" t="s">
        <v>354</v>
      </c>
      <c r="E48" s="5"/>
      <c r="F48" s="5" t="s">
        <v>214</v>
      </c>
      <c r="G48" s="5" t="s">
        <v>236</v>
      </c>
      <c r="H48" s="6"/>
      <c r="N48" t="s">
        <v>355</v>
      </c>
      <c r="AU48" t="s">
        <v>304</v>
      </c>
      <c r="AV48">
        <v>60</v>
      </c>
      <c r="AW48">
        <v>84</v>
      </c>
      <c r="AX48">
        <f>CONVERT(Table25[[#This Row],[Length]],"in","m")*CONVERT(Table25[[#This Row],[Breadth]],"in","m")</f>
        <v>3.2516064</v>
      </c>
      <c r="AY48">
        <f>ROUND(_xlfn.XLOOKUP(Table25[[#This Row],[Material]],Price_tbl[Column1],Price_tbl[Prices],0,0,1)/Table25[[#This Row],[Sqm]],0)</f>
        <v>0</v>
      </c>
    </row>
    <row r="49" spans="2:51" x14ac:dyDescent="0.35">
      <c r="B49" s="4" t="str">
        <f>IFERROR(_xlfn.TEXTJOIN("_",TRUE,Price_tbl[[#This Row],[Category]],Price_tbl[[#This Row],[Sub_category]],Price_tbl[[#This Row],[Size]],Price_tbl[[#This Row],[Unit]],Price_tbl[[#This Row],[Color]]),"")</f>
        <v>Fabric_Korean Leather_ Roll</v>
      </c>
      <c r="C49" s="5" t="s">
        <v>8</v>
      </c>
      <c r="D49" s="8" t="s">
        <v>327</v>
      </c>
      <c r="E49" s="5"/>
      <c r="F49" s="5" t="s">
        <v>224</v>
      </c>
      <c r="G49" s="5"/>
      <c r="H49" s="6"/>
      <c r="N49" t="s">
        <v>356</v>
      </c>
      <c r="AU49" t="s">
        <v>308</v>
      </c>
      <c r="AV49">
        <v>60</v>
      </c>
      <c r="AW49">
        <v>84</v>
      </c>
      <c r="AX49">
        <f>CONVERT(Table25[[#This Row],[Length]],"in","m")*CONVERT(Table25[[#This Row],[Breadth]],"in","m")</f>
        <v>3.2516064</v>
      </c>
      <c r="AY49">
        <f>ROUND(_xlfn.XLOOKUP(Table25[[#This Row],[Material]],Price_tbl[Column1],Price_tbl[Prices],0,0,1)/Table25[[#This Row],[Sqm]],0)</f>
        <v>9688</v>
      </c>
    </row>
    <row r="50" spans="2:51" x14ac:dyDescent="0.35">
      <c r="B50" s="4" t="str">
        <f>IFERROR(_xlfn.TEXTJOIN("_",TRUE,Price_tbl[[#This Row],[Category]],Price_tbl[[#This Row],[Sub_category]],Price_tbl[[#This Row],[Size]],Price_tbl[[#This Row],[Unit]],Price_tbl[[#This Row],[Color]]),"")</f>
        <v>Fabric_Suede leather_ Roll</v>
      </c>
      <c r="C50" s="5" t="s">
        <v>8</v>
      </c>
      <c r="D50" s="8" t="s">
        <v>330</v>
      </c>
      <c r="E50" s="5"/>
      <c r="F50" s="5" t="s">
        <v>224</v>
      </c>
      <c r="G50" s="5"/>
      <c r="H50" s="6"/>
      <c r="N50" t="s">
        <v>357</v>
      </c>
      <c r="AU50" t="s">
        <v>311</v>
      </c>
      <c r="AV50">
        <v>60</v>
      </c>
      <c r="AW50">
        <v>84</v>
      </c>
      <c r="AX50">
        <f>CONVERT(Table25[[#This Row],[Length]],"in","m")*CONVERT(Table25[[#This Row],[Breadth]],"in","m")</f>
        <v>3.2516064</v>
      </c>
      <c r="AY50">
        <f>ROUND(_xlfn.XLOOKUP(Table25[[#This Row],[Material]],Price_tbl[Column1],Price_tbl[Prices],0,0,1)/Table25[[#This Row],[Sqm]],0)</f>
        <v>0</v>
      </c>
    </row>
    <row r="51" spans="2:51" x14ac:dyDescent="0.35">
      <c r="B51" s="4" t="str">
        <f>IFERROR(_xlfn.TEXTJOIN("_",TRUE,Price_tbl[[#This Row],[Category]],Price_tbl[[#This Row],[Sub_category]],Price_tbl[[#This Row],[Size]],Price_tbl[[#This Row],[Unit]],Price_tbl[[#This Row],[Color]]),"")</f>
        <v>Fabric_Cloth Leather_ Roll</v>
      </c>
      <c r="C51" s="5" t="s">
        <v>8</v>
      </c>
      <c r="D51" s="8" t="s">
        <v>333</v>
      </c>
      <c r="E51" s="5"/>
      <c r="F51" s="5" t="s">
        <v>224</v>
      </c>
      <c r="G51" s="5"/>
      <c r="H51" s="6"/>
      <c r="AU51" t="s">
        <v>314</v>
      </c>
      <c r="AV51">
        <v>60</v>
      </c>
      <c r="AW51">
        <v>84</v>
      </c>
      <c r="AX51">
        <f>CONVERT(Table25[[#This Row],[Length]],"in","m")*CONVERT(Table25[[#This Row],[Breadth]],"in","m")</f>
        <v>3.2516064</v>
      </c>
      <c r="AY51">
        <f>ROUND(_xlfn.XLOOKUP(Table25[[#This Row],[Material]],Price_tbl[Column1],Price_tbl[Prices],0,0,1)/Table25[[#This Row],[Sqm]],0)</f>
        <v>12917</v>
      </c>
    </row>
    <row r="52" spans="2:51" x14ac:dyDescent="0.35">
      <c r="B52" s="4" t="str">
        <f>IFERROR(_xlfn.TEXTJOIN("_",TRUE,Price_tbl[[#This Row],[Category]],Price_tbl[[#This Row],[Sub_category]],Price_tbl[[#This Row],[Size]],Price_tbl[[#This Row],[Unit]],Price_tbl[[#This Row],[Color]]),"")</f>
        <v>Fabric_Animal Skin_ Roll</v>
      </c>
      <c r="C52" s="5" t="s">
        <v>8</v>
      </c>
      <c r="D52" s="8" t="s">
        <v>336</v>
      </c>
      <c r="E52" s="5"/>
      <c r="F52" s="5" t="s">
        <v>224</v>
      </c>
      <c r="G52" s="5"/>
      <c r="H52" s="6"/>
      <c r="AU52" t="s">
        <v>316</v>
      </c>
      <c r="AV52">
        <v>60</v>
      </c>
      <c r="AW52">
        <v>84</v>
      </c>
      <c r="AX52">
        <f>CONVERT(Table25[[#This Row],[Length]],"in","m")*CONVERT(Table25[[#This Row],[Breadth]],"in","m")</f>
        <v>3.2516064</v>
      </c>
      <c r="AY52">
        <f>ROUND(_xlfn.XLOOKUP(Table25[[#This Row],[Material]],Price_tbl[Column1],Price_tbl[Prices],0,0,1)/Table25[[#This Row],[Sqm]],0)</f>
        <v>0</v>
      </c>
    </row>
    <row r="53" spans="2:51" x14ac:dyDescent="0.35">
      <c r="B53" s="4" t="str">
        <f>IFERROR(_xlfn.TEXTJOIN("_",TRUE,Price_tbl[[#This Row],[Category]],Price_tbl[[#This Row],[Sub_category]],Price_tbl[[#This Row],[Size]],Price_tbl[[#This Row],[Unit]],Price_tbl[[#This Row],[Color]]),"")</f>
        <v>Fabric_Velvet_ Roll</v>
      </c>
      <c r="C53" s="5" t="s">
        <v>8</v>
      </c>
      <c r="D53" s="8" t="s">
        <v>340</v>
      </c>
      <c r="E53" s="5"/>
      <c r="F53" s="5" t="s">
        <v>224</v>
      </c>
      <c r="G53" s="5"/>
      <c r="H53" s="6"/>
      <c r="AU53" t="s">
        <v>319</v>
      </c>
      <c r="AV53">
        <v>60</v>
      </c>
      <c r="AW53">
        <v>84</v>
      </c>
      <c r="AX53">
        <f>CONVERT(Table25[[#This Row],[Length]],"in","m")*CONVERT(Table25[[#This Row],[Breadth]],"in","m")</f>
        <v>3.2516064</v>
      </c>
      <c r="AY53">
        <f>ROUND(_xlfn.XLOOKUP(Table25[[#This Row],[Material]],Price_tbl[Column1],Price_tbl[Prices],0,0,1)/Table25[[#This Row],[Sqm]],0)</f>
        <v>16607</v>
      </c>
    </row>
    <row r="54" spans="2:51" x14ac:dyDescent="0.35">
      <c r="B54" s="4" t="str">
        <f>IFERROR(_xlfn.TEXTJOIN("_",TRUE,Price_tbl[[#This Row],[Category]],Price_tbl[[#This Row],[Sub_category]],Price_tbl[[#This Row],[Size]],Price_tbl[[#This Row],[Unit]],Price_tbl[[#This Row],[Color]]),"")</f>
        <v>Fabric_Semi Skin_ Roll</v>
      </c>
      <c r="C54" s="5" t="s">
        <v>8</v>
      </c>
      <c r="D54" s="8" t="s">
        <v>343</v>
      </c>
      <c r="E54" s="5"/>
      <c r="F54" s="5" t="s">
        <v>224</v>
      </c>
      <c r="G54" s="5"/>
      <c r="H54" s="6"/>
      <c r="AU54" t="s">
        <v>322</v>
      </c>
      <c r="AV54">
        <v>60</v>
      </c>
      <c r="AW54">
        <v>84</v>
      </c>
      <c r="AX54">
        <f>CONVERT(Table25[[#This Row],[Length]],"in","m")*CONVERT(Table25[[#This Row],[Breadth]],"in","m")</f>
        <v>3.2516064</v>
      </c>
      <c r="AY54">
        <f>ROUND(_xlfn.XLOOKUP(Table25[[#This Row],[Material]],Price_tbl[Column1],Price_tbl[Prices],0,0,1)/Table25[[#This Row],[Sqm]],0)</f>
        <v>0</v>
      </c>
    </row>
    <row r="55" spans="2:51" x14ac:dyDescent="0.35">
      <c r="B55" s="4" t="str">
        <f>IFERROR(_xlfn.TEXTJOIN("_",TRUE,Price_tbl[[#This Row],[Category]],Price_tbl[[#This Row],[Sub_category]],Price_tbl[[#This Row],[Size]],Price_tbl[[#This Row],[Unit]],Price_tbl[[#This Row],[Color]]),"")</f>
        <v>Fabric_Matte_ Roll</v>
      </c>
      <c r="C55" s="5" t="s">
        <v>8</v>
      </c>
      <c r="D55" s="8" t="s">
        <v>345</v>
      </c>
      <c r="E55" s="5"/>
      <c r="F55" s="5" t="s">
        <v>224</v>
      </c>
      <c r="G55" s="5"/>
      <c r="H55" s="6"/>
      <c r="AU55" t="s">
        <v>325</v>
      </c>
      <c r="AV55">
        <v>60</v>
      </c>
      <c r="AW55">
        <v>84</v>
      </c>
      <c r="AX55">
        <f>CONVERT(Table25[[#This Row],[Length]],"in","m")*CONVERT(Table25[[#This Row],[Breadth]],"in","m")</f>
        <v>3.2516064</v>
      </c>
      <c r="AY55">
        <f>ROUND(_xlfn.XLOOKUP(Table25[[#This Row],[Material]],Price_tbl[Column1],Price_tbl[Prices],0,0,1)/Table25[[#This Row],[Sqm]],0)</f>
        <v>20298</v>
      </c>
    </row>
    <row r="56" spans="2:51" x14ac:dyDescent="0.35">
      <c r="B56" s="4" t="str">
        <f>IFERROR(_xlfn.TEXTJOIN("_",TRUE,Price_tbl[[#This Row],[Category]],Price_tbl[[#This Row],[Sub_category]],Price_tbl[[#This Row],[Size]],Price_tbl[[#This Row],[Unit]],Price_tbl[[#This Row],[Color]]),"")</f>
        <v>Fabric_Semi boucle_ Roll</v>
      </c>
      <c r="C56" s="5" t="s">
        <v>8</v>
      </c>
      <c r="D56" s="8" t="s">
        <v>347</v>
      </c>
      <c r="E56" s="5"/>
      <c r="F56" s="5" t="s">
        <v>224</v>
      </c>
      <c r="G56" s="5"/>
      <c r="H56" s="6"/>
      <c r="AU56" t="s">
        <v>328</v>
      </c>
      <c r="AV56">
        <v>60</v>
      </c>
      <c r="AW56">
        <v>84</v>
      </c>
      <c r="AX56">
        <f>CONVERT(Table25[[#This Row],[Length]],"in","m")*CONVERT(Table25[[#This Row],[Breadth]],"in","m")</f>
        <v>3.2516064</v>
      </c>
      <c r="AY56">
        <f>ROUND(_xlfn.XLOOKUP(Table25[[#This Row],[Material]],Price_tbl[Column1],Price_tbl[Prices],0,0,1)/Table25[[#This Row],[Sqm]],0)</f>
        <v>0</v>
      </c>
    </row>
    <row r="57" spans="2:51" x14ac:dyDescent="0.35">
      <c r="B57" s="4" t="str">
        <f>IFERROR(_xlfn.TEXTJOIN("_",TRUE,Price_tbl[[#This Row],[Category]],Price_tbl[[#This Row],[Sub_category]],Price_tbl[[#This Row],[Size]],Price_tbl[[#This Row],[Unit]],Price_tbl[[#This Row],[Color]]),"")</f>
        <v>Fabric_Boucle Fabric_ Roll</v>
      </c>
      <c r="C57" s="5" t="s">
        <v>8</v>
      </c>
      <c r="D57" s="8" t="s">
        <v>349</v>
      </c>
      <c r="E57" s="5"/>
      <c r="F57" s="5" t="s">
        <v>224</v>
      </c>
      <c r="G57" s="5"/>
      <c r="H57" s="6"/>
      <c r="AU57" t="s">
        <v>331</v>
      </c>
      <c r="AV57">
        <v>60</v>
      </c>
      <c r="AW57">
        <v>84</v>
      </c>
      <c r="AX57">
        <f>CONVERT(Table25[[#This Row],[Length]],"in","m")*CONVERT(Table25[[#This Row],[Breadth]],"in","m")</f>
        <v>3.2516064</v>
      </c>
      <c r="AY57">
        <f>ROUND(_xlfn.XLOOKUP(Table25[[#This Row],[Material]],Price_tbl[Column1],Price_tbl[Prices],0,0,1)/Table25[[#This Row],[Sqm]],0)</f>
        <v>0</v>
      </c>
    </row>
    <row r="58" spans="2:51" x14ac:dyDescent="0.35">
      <c r="B58" s="4" t="str">
        <f>IFERROR(_xlfn.TEXTJOIN("_",TRUE,Price_tbl[[#This Row],[Category]],Price_tbl[[#This Row],[Sub_category]],Price_tbl[[#This Row],[Size]],Price_tbl[[#This Row],[Unit]],Price_tbl[[#This Row],[Color]]),"")</f>
        <v>Fabric_Thick Velvet_ Roll</v>
      </c>
      <c r="C58" s="5" t="s">
        <v>8</v>
      </c>
      <c r="D58" s="8" t="s">
        <v>351</v>
      </c>
      <c r="E58" s="5"/>
      <c r="F58" s="5" t="s">
        <v>224</v>
      </c>
      <c r="G58" s="5"/>
      <c r="H58" s="6"/>
      <c r="AU58" t="s">
        <v>334</v>
      </c>
      <c r="AV58">
        <v>60</v>
      </c>
      <c r="AW58">
        <v>84</v>
      </c>
      <c r="AX58">
        <f>CONVERT(Table25[[#This Row],[Length]],"in","m")*CONVERT(Table25[[#This Row],[Breadth]],"in","m")</f>
        <v>3.2516064</v>
      </c>
      <c r="AY58">
        <f>ROUND(_xlfn.XLOOKUP(Table25[[#This Row],[Material]],Price_tbl[Column1],Price_tbl[Prices],0,0,1)/Table25[[#This Row],[Sqm]],0)</f>
        <v>0</v>
      </c>
    </row>
    <row r="59" spans="2:51" x14ac:dyDescent="0.35">
      <c r="B59" s="4" t="str">
        <f>IFERROR(_xlfn.TEXTJOIN("_",TRUE,Price_tbl[[#This Row],[Category]],Price_tbl[[#This Row],[Sub_category]],Price_tbl[[#This Row],[Size]],Price_tbl[[#This Row],[Unit]],Price_tbl[[#This Row],[Color]]),"")</f>
        <v>Fabric_Baft_ Roll</v>
      </c>
      <c r="C59" s="5" t="s">
        <v>8</v>
      </c>
      <c r="D59" s="8" t="s">
        <v>354</v>
      </c>
      <c r="E59" s="5"/>
      <c r="F59" s="5" t="s">
        <v>224</v>
      </c>
      <c r="G59" s="5"/>
      <c r="H59" s="6"/>
      <c r="AU59" t="s">
        <v>338</v>
      </c>
      <c r="AV59">
        <v>60</v>
      </c>
      <c r="AW59">
        <v>84</v>
      </c>
      <c r="AX59">
        <f>CONVERT(Table25[[#This Row],[Length]],"in","m")*CONVERT(Table25[[#This Row],[Breadth]],"in","m")</f>
        <v>3.2516064</v>
      </c>
      <c r="AY59">
        <f>ROUND(_xlfn.XLOOKUP(Table25[[#This Row],[Material]],Price_tbl[Column1],Price_tbl[Prices],0,0,1)/Table25[[#This Row],[Sqm]],0)</f>
        <v>0</v>
      </c>
    </row>
    <row r="60" spans="2:51" x14ac:dyDescent="0.35">
      <c r="B60" s="4" t="str">
        <f>IFERROR(_xlfn.TEXTJOIN("_",TRUE,Price_tbl[[#This Row],[Category]],Price_tbl[[#This Row],[Sub_category]],Price_tbl[[#This Row],[Size]],Price_tbl[[#This Row],[Unit]],Price_tbl[[#This Row],[Color]]),"")</f>
        <v>Castor_Pencil_2"_Set_Gold</v>
      </c>
      <c r="C60" s="5" t="s">
        <v>9</v>
      </c>
      <c r="D60" s="5" t="s">
        <v>358</v>
      </c>
      <c r="E60" s="5" t="s">
        <v>275</v>
      </c>
      <c r="F60" s="5" t="s">
        <v>359</v>
      </c>
      <c r="G60" s="5" t="s">
        <v>71</v>
      </c>
      <c r="H60" s="6"/>
      <c r="AU60" t="s">
        <v>341</v>
      </c>
      <c r="AV60">
        <v>60</v>
      </c>
      <c r="AW60">
        <v>84</v>
      </c>
      <c r="AX60">
        <f>CONVERT(Table25[[#This Row],[Length]],"in","m")*CONVERT(Table25[[#This Row],[Breadth]],"in","m")</f>
        <v>3.2516064</v>
      </c>
      <c r="AY60">
        <f>ROUND(_xlfn.XLOOKUP(Table25[[#This Row],[Material]],Price_tbl[Column1],Price_tbl[Prices],0,0,1)/Table25[[#This Row],[Sqm]],0)</f>
        <v>0</v>
      </c>
    </row>
    <row r="61" spans="2:51" x14ac:dyDescent="0.35">
      <c r="B61" s="4" t="str">
        <f>IFERROR(_xlfn.TEXTJOIN("_",TRUE,Price_tbl[[#This Row],[Category]],Price_tbl[[#This Row],[Sub_category]],Price_tbl[[#This Row],[Size]],Price_tbl[[#This Row],[Unit]],Price_tbl[[#This Row],[Color]]),"")</f>
        <v>Castor_Pencil_3"_Set_Gold</v>
      </c>
      <c r="C61" s="5" t="s">
        <v>9</v>
      </c>
      <c r="D61" s="5" t="s">
        <v>358</v>
      </c>
      <c r="E61" s="5" t="s">
        <v>303</v>
      </c>
      <c r="F61" s="5" t="s">
        <v>359</v>
      </c>
      <c r="G61" s="5" t="s">
        <v>71</v>
      </c>
      <c r="H61" s="6"/>
      <c r="AU61" t="s">
        <v>344</v>
      </c>
      <c r="AV61">
        <v>60</v>
      </c>
      <c r="AW61">
        <v>84</v>
      </c>
      <c r="AX61">
        <f>CONVERT(Table25[[#This Row],[Length]],"in","m")*CONVERT(Table25[[#This Row],[Breadth]],"in","m")</f>
        <v>3.2516064</v>
      </c>
      <c r="AY61">
        <f>ROUND(_xlfn.XLOOKUP(Table25[[#This Row],[Material]],Price_tbl[Column1],Price_tbl[Prices],0,0,1)/Table25[[#This Row],[Sqm]],0)</f>
        <v>0</v>
      </c>
    </row>
    <row r="62" spans="2:51" x14ac:dyDescent="0.35">
      <c r="B62" s="4" t="str">
        <f>IFERROR(_xlfn.TEXTJOIN("_",TRUE,Price_tbl[[#This Row],[Category]],Price_tbl[[#This Row],[Sub_category]],Price_tbl[[#This Row],[Size]],Price_tbl[[#This Row],[Unit]],Price_tbl[[#This Row],[Color]]),"")</f>
        <v>Castor_Pencil_4"_Set_Gold</v>
      </c>
      <c r="C62" s="5" t="s">
        <v>9</v>
      </c>
      <c r="D62" s="5" t="s">
        <v>358</v>
      </c>
      <c r="E62" s="5" t="s">
        <v>360</v>
      </c>
      <c r="F62" s="5" t="s">
        <v>359</v>
      </c>
      <c r="G62" s="5" t="s">
        <v>71</v>
      </c>
      <c r="H62" s="6">
        <v>3000</v>
      </c>
      <c r="AU62" t="s">
        <v>346</v>
      </c>
      <c r="AV62">
        <v>60</v>
      </c>
      <c r="AW62">
        <v>84</v>
      </c>
      <c r="AX62">
        <f>CONVERT(Table25[[#This Row],[Length]],"in","m")*CONVERT(Table25[[#This Row],[Breadth]],"in","m")</f>
        <v>3.2516064</v>
      </c>
      <c r="AY62">
        <f>ROUND(_xlfn.XLOOKUP(Table25[[#This Row],[Material]],Price_tbl[Column1],Price_tbl[Prices],0,0,1)/Table25[[#This Row],[Sqm]],0)</f>
        <v>0</v>
      </c>
    </row>
    <row r="63" spans="2:51" x14ac:dyDescent="0.35">
      <c r="B63" s="4" t="str">
        <f>IFERROR(_xlfn.TEXTJOIN("_",TRUE,Price_tbl[[#This Row],[Category]],Price_tbl[[#This Row],[Sub_category]],Price_tbl[[#This Row],[Size]],Price_tbl[[#This Row],[Unit]],Price_tbl[[#This Row],[Color]]),"")</f>
        <v>Castor_Pencil_5"_Set_Gold</v>
      </c>
      <c r="C63" s="5" t="s">
        <v>9</v>
      </c>
      <c r="D63" s="5" t="s">
        <v>358</v>
      </c>
      <c r="E63" s="5" t="s">
        <v>361</v>
      </c>
      <c r="F63" s="5" t="s">
        <v>359</v>
      </c>
      <c r="G63" s="5" t="s">
        <v>71</v>
      </c>
      <c r="H63" s="6">
        <v>3500</v>
      </c>
      <c r="AU63" t="s">
        <v>348</v>
      </c>
      <c r="AV63">
        <v>60</v>
      </c>
      <c r="AW63">
        <v>84</v>
      </c>
      <c r="AX63">
        <f>CONVERT(Table25[[#This Row],[Length]],"in","m")*CONVERT(Table25[[#This Row],[Breadth]],"in","m")</f>
        <v>3.2516064</v>
      </c>
      <c r="AY63">
        <f>ROUND(_xlfn.XLOOKUP(Table25[[#This Row],[Material]],Price_tbl[Column1],Price_tbl[Prices],0,0,1)/Table25[[#This Row],[Sqm]],0)</f>
        <v>0</v>
      </c>
    </row>
    <row r="64" spans="2:51" x14ac:dyDescent="0.35">
      <c r="B64" s="4" t="str">
        <f>IFERROR(_xlfn.TEXTJOIN("_",TRUE,Price_tbl[[#This Row],[Category]],Price_tbl[[#This Row],[Sub_category]],Price_tbl[[#This Row],[Size]],Price_tbl[[#This Row],[Unit]],Price_tbl[[#This Row],[Color]]),"")</f>
        <v>Castor_Pencil_6"_Set_Gold</v>
      </c>
      <c r="C64" s="5" t="s">
        <v>9</v>
      </c>
      <c r="D64" s="5" t="s">
        <v>358</v>
      </c>
      <c r="E64" s="5" t="s">
        <v>70</v>
      </c>
      <c r="F64" s="5" t="s">
        <v>359</v>
      </c>
      <c r="G64" s="5" t="s">
        <v>71</v>
      </c>
      <c r="H64" s="6">
        <v>4000</v>
      </c>
      <c r="AU64" t="s">
        <v>350</v>
      </c>
      <c r="AV64">
        <v>60</v>
      </c>
      <c r="AW64">
        <v>84</v>
      </c>
      <c r="AX64">
        <f>CONVERT(Table25[[#This Row],[Length]],"in","m")*CONVERT(Table25[[#This Row],[Breadth]],"in","m")</f>
        <v>3.2516064</v>
      </c>
      <c r="AY64">
        <f>ROUND(_xlfn.XLOOKUP(Table25[[#This Row],[Material]],Price_tbl[Column1],Price_tbl[Prices],0,0,1)/Table25[[#This Row],[Sqm]],0)</f>
        <v>0</v>
      </c>
    </row>
    <row r="65" spans="2:51" x14ac:dyDescent="0.35">
      <c r="B65" s="4" t="str">
        <f>IFERROR(_xlfn.TEXTJOIN("_",TRUE,Price_tbl[[#This Row],[Category]],Price_tbl[[#This Row],[Sub_category]],Price_tbl[[#This Row],[Size]],Price_tbl[[#This Row],[Unit]],Price_tbl[[#This Row],[Color]]),"")</f>
        <v>Castor_Pencil_7"_Set_Gold</v>
      </c>
      <c r="C65" s="5" t="s">
        <v>9</v>
      </c>
      <c r="D65" s="5" t="s">
        <v>358</v>
      </c>
      <c r="E65" s="5" t="s">
        <v>362</v>
      </c>
      <c r="F65" s="5" t="s">
        <v>359</v>
      </c>
      <c r="G65" s="5" t="s">
        <v>71</v>
      </c>
      <c r="H65" s="6"/>
      <c r="AU65" t="s">
        <v>353</v>
      </c>
      <c r="AV65">
        <v>60</v>
      </c>
      <c r="AW65">
        <v>84</v>
      </c>
      <c r="AX65">
        <f>CONVERT(Table25[[#This Row],[Length]],"in","m")*CONVERT(Table25[[#This Row],[Breadth]],"in","m")</f>
        <v>3.2516064</v>
      </c>
      <c r="AY65">
        <f>ROUND(_xlfn.XLOOKUP(Table25[[#This Row],[Material]],Price_tbl[Column1],Price_tbl[Prices],0,0,1)/Table25[[#This Row],[Sqm]],0)</f>
        <v>0</v>
      </c>
    </row>
    <row r="66" spans="2:51" x14ac:dyDescent="0.35">
      <c r="B66" s="4" t="str">
        <f>IFERROR(_xlfn.TEXTJOIN("_",TRUE,Price_tbl[[#This Row],[Category]],Price_tbl[[#This Row],[Sub_category]],Price_tbl[[#This Row],[Size]],Price_tbl[[#This Row],[Unit]],Price_tbl[[#This Row],[Color]]),"")</f>
        <v>Castor_Pencil_8"_Set_Gold</v>
      </c>
      <c r="C66" s="5" t="s">
        <v>9</v>
      </c>
      <c r="D66" s="5" t="s">
        <v>358</v>
      </c>
      <c r="E66" s="5" t="s">
        <v>363</v>
      </c>
      <c r="F66" s="5" t="s">
        <v>359</v>
      </c>
      <c r="G66" s="5" t="s">
        <v>71</v>
      </c>
      <c r="H66" s="6">
        <v>5000</v>
      </c>
      <c r="AU66" t="s">
        <v>355</v>
      </c>
      <c r="AV66">
        <v>60</v>
      </c>
      <c r="AW66">
        <v>84</v>
      </c>
      <c r="AX66">
        <f>CONVERT(Table25[[#This Row],[Length]],"in","m")*CONVERT(Table25[[#This Row],[Breadth]],"in","m")</f>
        <v>3.2516064</v>
      </c>
      <c r="AY66">
        <f>ROUND(_xlfn.XLOOKUP(Table25[[#This Row],[Material]],Price_tbl[Column1],Price_tbl[Prices],0,0,1)/Table25[[#This Row],[Sqm]],0)</f>
        <v>0</v>
      </c>
    </row>
    <row r="67" spans="2:51" x14ac:dyDescent="0.35">
      <c r="B67" s="4" t="str">
        <f>IFERROR(_xlfn.TEXTJOIN("_",TRUE,Price_tbl[[#This Row],[Category]],Price_tbl[[#This Row],[Sub_category]],Price_tbl[[#This Row],[Size]],Price_tbl[[#This Row],[Unit]],Price_tbl[[#This Row],[Color]]),"")</f>
        <v>Castor_Pencil_9"_Set_Gold</v>
      </c>
      <c r="C67" s="5" t="s">
        <v>9</v>
      </c>
      <c r="D67" s="5" t="s">
        <v>358</v>
      </c>
      <c r="E67" s="5" t="s">
        <v>364</v>
      </c>
      <c r="F67" s="5" t="s">
        <v>359</v>
      </c>
      <c r="G67" s="5" t="s">
        <v>71</v>
      </c>
      <c r="H67" s="6"/>
      <c r="AU67" t="s">
        <v>356</v>
      </c>
      <c r="AV67">
        <v>60</v>
      </c>
      <c r="AW67">
        <v>84</v>
      </c>
      <c r="AX67">
        <f>CONVERT(Table25[[#This Row],[Length]],"in","m")*CONVERT(Table25[[#This Row],[Breadth]],"in","m")</f>
        <v>3.2516064</v>
      </c>
      <c r="AY67">
        <f>ROUND(_xlfn.XLOOKUP(Table25[[#This Row],[Material]],Price_tbl[Column1],Price_tbl[Prices],0,0,1)/Table25[[#This Row],[Sqm]],0)</f>
        <v>0</v>
      </c>
    </row>
    <row r="68" spans="2:51" x14ac:dyDescent="0.35">
      <c r="B68" s="4" t="str">
        <f>IFERROR(_xlfn.TEXTJOIN("_",TRUE,Price_tbl[[#This Row],[Category]],Price_tbl[[#This Row],[Sub_category]],Price_tbl[[#This Row],[Size]],Price_tbl[[#This Row],[Unit]],Price_tbl[[#This Row],[Color]]),"")</f>
        <v>Castor_Pencil_10"_Set_Gold</v>
      </c>
      <c r="C68" s="5" t="s">
        <v>9</v>
      </c>
      <c r="D68" s="5" t="s">
        <v>358</v>
      </c>
      <c r="E68" s="5" t="s">
        <v>108</v>
      </c>
      <c r="F68" s="5" t="s">
        <v>359</v>
      </c>
      <c r="G68" s="5" t="s">
        <v>71</v>
      </c>
      <c r="H68" s="6">
        <v>7000</v>
      </c>
      <c r="AU68" t="s">
        <v>265</v>
      </c>
      <c r="AV68">
        <v>48</v>
      </c>
      <c r="AW68">
        <v>96</v>
      </c>
      <c r="AX68">
        <f>CONVERT(Table25[[#This Row],[Length]],"in","m")*CONVERT(Table25[[#This Row],[Breadth]],"in","m")</f>
        <v>2.9728972800000002</v>
      </c>
      <c r="AY68">
        <f>ROUND(_xlfn.XLOOKUP(Table25[[#This Row],[Material]],Price_tbl[Column1],Price_tbl[Prices],0,0,1)/Table25[[#This Row],[Sqm]],0)</f>
        <v>0</v>
      </c>
    </row>
    <row r="69" spans="2:51" x14ac:dyDescent="0.35">
      <c r="B69" s="4" t="str">
        <f>IFERROR(_xlfn.TEXTJOIN("_",TRUE,Price_tbl[[#This Row],[Category]],Price_tbl[[#This Row],[Sub_category]],Price_tbl[[#This Row],[Size]],Price_tbl[[#This Row],[Unit]],Price_tbl[[#This Row],[Color]]),"")</f>
        <v>Castor_Pencil_11"_Set_Gold</v>
      </c>
      <c r="C69" s="5" t="s">
        <v>9</v>
      </c>
      <c r="D69" s="5" t="s">
        <v>358</v>
      </c>
      <c r="E69" s="5" t="s">
        <v>365</v>
      </c>
      <c r="F69" s="5" t="s">
        <v>359</v>
      </c>
      <c r="G69" s="5" t="s">
        <v>71</v>
      </c>
      <c r="H69" s="6"/>
    </row>
    <row r="70" spans="2:51" x14ac:dyDescent="0.35">
      <c r="B70" s="4" t="str">
        <f>IFERROR(_xlfn.TEXTJOIN("_",TRUE,Price_tbl[[#This Row],[Category]],Price_tbl[[#This Row],[Sub_category]],Price_tbl[[#This Row],[Size]],Price_tbl[[#This Row],[Unit]],Price_tbl[[#This Row],[Color]]),"")</f>
        <v>Castor_Pencil_12"_Set_Gold</v>
      </c>
      <c r="C70" s="5" t="s">
        <v>9</v>
      </c>
      <c r="D70" s="5" t="s">
        <v>358</v>
      </c>
      <c r="E70" s="5" t="s">
        <v>124</v>
      </c>
      <c r="F70" s="5" t="s">
        <v>359</v>
      </c>
      <c r="G70" s="5" t="s">
        <v>71</v>
      </c>
      <c r="H70" s="6">
        <v>7500</v>
      </c>
    </row>
    <row r="71" spans="2:51" x14ac:dyDescent="0.35">
      <c r="B71" s="4" t="str">
        <f>IFERROR(_xlfn.TEXTJOIN("_",TRUE,Price_tbl[[#This Row],[Category]],Price_tbl[[#This Row],[Sub_category]],Price_tbl[[#This Row],[Size]],Price_tbl[[#This Row],[Unit]],Price_tbl[[#This Row],[Color]]),"")</f>
        <v>Castor_Pencil_13"_Set_Gold</v>
      </c>
      <c r="C71" s="5" t="s">
        <v>9</v>
      </c>
      <c r="D71" s="5" t="s">
        <v>358</v>
      </c>
      <c r="E71" s="5" t="s">
        <v>366</v>
      </c>
      <c r="F71" s="5" t="s">
        <v>359</v>
      </c>
      <c r="G71" s="5" t="s">
        <v>71</v>
      </c>
      <c r="H71" s="6"/>
    </row>
    <row r="72" spans="2:51" x14ac:dyDescent="0.35">
      <c r="B72" s="4" t="str">
        <f>IFERROR(_xlfn.TEXTJOIN("_",TRUE,Price_tbl[[#This Row],[Category]],Price_tbl[[#This Row],[Sub_category]],Price_tbl[[#This Row],[Size]],Price_tbl[[#This Row],[Unit]],Price_tbl[[#This Row],[Color]]),"")</f>
        <v>Castor_Pencil_14"_Set_Gold</v>
      </c>
      <c r="C72" s="5" t="s">
        <v>9</v>
      </c>
      <c r="D72" s="5" t="s">
        <v>358</v>
      </c>
      <c r="E72" s="5" t="s">
        <v>136</v>
      </c>
      <c r="F72" s="5" t="s">
        <v>359</v>
      </c>
      <c r="G72" s="5" t="s">
        <v>71</v>
      </c>
      <c r="H72" s="6"/>
    </row>
    <row r="73" spans="2:51" x14ac:dyDescent="0.35">
      <c r="B73" s="4" t="str">
        <f>IFERROR(_xlfn.TEXTJOIN("_",TRUE,Price_tbl[[#This Row],[Category]],Price_tbl[[#This Row],[Sub_category]],Price_tbl[[#This Row],[Size]],Price_tbl[[#This Row],[Unit]],Price_tbl[[#This Row],[Color]]),"")</f>
        <v>Castor_Pencil_15"_Set_Gold</v>
      </c>
      <c r="C73" s="5" t="s">
        <v>9</v>
      </c>
      <c r="D73" s="5" t="s">
        <v>358</v>
      </c>
      <c r="E73" s="5" t="s">
        <v>367</v>
      </c>
      <c r="F73" s="5" t="s">
        <v>359</v>
      </c>
      <c r="G73" s="5" t="s">
        <v>71</v>
      </c>
      <c r="H73" s="6"/>
    </row>
    <row r="74" spans="2:51" x14ac:dyDescent="0.35">
      <c r="B74" s="4" t="str">
        <f>IFERROR(_xlfn.TEXTJOIN("_",TRUE,Price_tbl[[#This Row],[Category]],Price_tbl[[#This Row],[Sub_category]],Price_tbl[[#This Row],[Size]],Price_tbl[[#This Row],[Unit]],Price_tbl[[#This Row],[Color]]),"")</f>
        <v>Castor_Pencil_16"_Set_Gold</v>
      </c>
      <c r="C74" s="5" t="s">
        <v>9</v>
      </c>
      <c r="D74" s="5" t="s">
        <v>358</v>
      </c>
      <c r="E74" s="5" t="s">
        <v>149</v>
      </c>
      <c r="F74" s="5" t="s">
        <v>359</v>
      </c>
      <c r="G74" s="5" t="s">
        <v>71</v>
      </c>
      <c r="H74" s="6">
        <v>12500</v>
      </c>
    </row>
    <row r="75" spans="2:51" x14ac:dyDescent="0.35">
      <c r="B75" s="4" t="str">
        <f>IFERROR(_xlfn.TEXTJOIN("_",TRUE,Price_tbl[[#This Row],[Category]],Price_tbl[[#This Row],[Sub_category]],Price_tbl[[#This Row],[Size]],Price_tbl[[#This Row],[Unit]],Price_tbl[[#This Row],[Color]]),"")</f>
        <v>Castor_Pencil_17"_Set_Gold</v>
      </c>
      <c r="C75" s="5" t="s">
        <v>9</v>
      </c>
      <c r="D75" s="5" t="s">
        <v>358</v>
      </c>
      <c r="E75" s="5" t="s">
        <v>368</v>
      </c>
      <c r="F75" s="5" t="s">
        <v>359</v>
      </c>
      <c r="G75" s="5" t="s">
        <v>71</v>
      </c>
      <c r="H75" s="6"/>
    </row>
    <row r="76" spans="2:51" x14ac:dyDescent="0.35">
      <c r="B76" s="4" t="str">
        <f>IFERROR(_xlfn.TEXTJOIN("_",TRUE,Price_tbl[[#This Row],[Category]],Price_tbl[[#This Row],[Sub_category]],Price_tbl[[#This Row],[Size]],Price_tbl[[#This Row],[Unit]],Price_tbl[[#This Row],[Color]]),"")</f>
        <v>Castor_Pencil_18"_Set_Gold</v>
      </c>
      <c r="C76" s="5" t="s">
        <v>9</v>
      </c>
      <c r="D76" s="5" t="s">
        <v>358</v>
      </c>
      <c r="E76" s="5" t="s">
        <v>369</v>
      </c>
      <c r="F76" s="5" t="s">
        <v>359</v>
      </c>
      <c r="G76" s="5" t="s">
        <v>71</v>
      </c>
      <c r="H76" s="6">
        <v>13500</v>
      </c>
    </row>
    <row r="77" spans="2:51" x14ac:dyDescent="0.35">
      <c r="B77" s="4" t="str">
        <f>IFERROR(_xlfn.TEXTJOIN("_",TRUE,Price_tbl[[#This Row],[Category]],Price_tbl[[#This Row],[Sub_category]],Price_tbl[[#This Row],[Size]],Price_tbl[[#This Row],[Unit]],Price_tbl[[#This Row],[Color]]),"")</f>
        <v>Castor_ three finger slant_2"_Set_Gold</v>
      </c>
      <c r="C77" s="5" t="s">
        <v>9</v>
      </c>
      <c r="D77" s="5" t="s">
        <v>370</v>
      </c>
      <c r="E77" s="5" t="s">
        <v>275</v>
      </c>
      <c r="F77" s="5" t="s">
        <v>359</v>
      </c>
      <c r="G77" s="5" t="s">
        <v>71</v>
      </c>
      <c r="H77" s="6"/>
    </row>
    <row r="78" spans="2:51" x14ac:dyDescent="0.35">
      <c r="B78" s="4" t="str">
        <f>IFERROR(_xlfn.TEXTJOIN("_",TRUE,Price_tbl[[#This Row],[Category]],Price_tbl[[#This Row],[Sub_category]],Price_tbl[[#This Row],[Size]],Price_tbl[[#This Row],[Unit]],Price_tbl[[#This Row],[Color]]),"")</f>
        <v>Castor_ three finger slant_3"_Set_Gold</v>
      </c>
      <c r="C78" s="5" t="s">
        <v>9</v>
      </c>
      <c r="D78" s="5" t="s">
        <v>370</v>
      </c>
      <c r="E78" s="5" t="s">
        <v>303</v>
      </c>
      <c r="F78" s="5" t="s">
        <v>359</v>
      </c>
      <c r="G78" s="5" t="s">
        <v>71</v>
      </c>
      <c r="H78" s="6"/>
    </row>
    <row r="79" spans="2:51" x14ac:dyDescent="0.35">
      <c r="B79" s="4" t="str">
        <f>IFERROR(_xlfn.TEXTJOIN("_",TRUE,Price_tbl[[#This Row],[Category]],Price_tbl[[#This Row],[Sub_category]],Price_tbl[[#This Row],[Size]],Price_tbl[[#This Row],[Unit]],Price_tbl[[#This Row],[Color]]),"")</f>
        <v>Castor_ three finger slant_4"_Set_Gold</v>
      </c>
      <c r="C79" s="5" t="s">
        <v>9</v>
      </c>
      <c r="D79" s="5" t="s">
        <v>370</v>
      </c>
      <c r="E79" s="5" t="s">
        <v>360</v>
      </c>
      <c r="F79" s="5" t="s">
        <v>359</v>
      </c>
      <c r="G79" s="5" t="s">
        <v>71</v>
      </c>
      <c r="H79" s="6"/>
    </row>
    <row r="80" spans="2:51" x14ac:dyDescent="0.35">
      <c r="B80" s="4" t="str">
        <f>IFERROR(_xlfn.TEXTJOIN("_",TRUE,Price_tbl[[#This Row],[Category]],Price_tbl[[#This Row],[Sub_category]],Price_tbl[[#This Row],[Size]],Price_tbl[[#This Row],[Unit]],Price_tbl[[#This Row],[Color]]),"")</f>
        <v>Castor_ three finger slant_5"_Set_Gold</v>
      </c>
      <c r="C80" s="5" t="s">
        <v>9</v>
      </c>
      <c r="D80" s="5" t="s">
        <v>370</v>
      </c>
      <c r="E80" s="5" t="s">
        <v>361</v>
      </c>
      <c r="F80" s="5" t="s">
        <v>359</v>
      </c>
      <c r="G80" s="5" t="s">
        <v>71</v>
      </c>
      <c r="H80" s="6"/>
    </row>
    <row r="81" spans="2:8" x14ac:dyDescent="0.35">
      <c r="B81" s="4" t="str">
        <f>IFERROR(_xlfn.TEXTJOIN("_",TRUE,Price_tbl[[#This Row],[Category]],Price_tbl[[#This Row],[Sub_category]],Price_tbl[[#This Row],[Size]],Price_tbl[[#This Row],[Unit]],Price_tbl[[#This Row],[Color]]),"")</f>
        <v>Castor_ three finger slant_6"_Set_Gold</v>
      </c>
      <c r="C81" s="5" t="s">
        <v>9</v>
      </c>
      <c r="D81" s="5" t="s">
        <v>370</v>
      </c>
      <c r="E81" s="5" t="s">
        <v>70</v>
      </c>
      <c r="F81" s="5" t="s">
        <v>359</v>
      </c>
      <c r="G81" s="5" t="s">
        <v>71</v>
      </c>
      <c r="H81" s="6"/>
    </row>
    <row r="82" spans="2:8" x14ac:dyDescent="0.35">
      <c r="B82" s="4" t="str">
        <f>IFERROR(_xlfn.TEXTJOIN("_",TRUE,Price_tbl[[#This Row],[Category]],Price_tbl[[#This Row],[Sub_category]],Price_tbl[[#This Row],[Size]],Price_tbl[[#This Row],[Unit]],Price_tbl[[#This Row],[Color]]),"")</f>
        <v>Castor_ three finger slant_7"_Set_Gold</v>
      </c>
      <c r="C82" s="5" t="s">
        <v>9</v>
      </c>
      <c r="D82" s="5" t="s">
        <v>370</v>
      </c>
      <c r="E82" s="5" t="s">
        <v>362</v>
      </c>
      <c r="F82" s="5" t="s">
        <v>359</v>
      </c>
      <c r="G82" s="5" t="s">
        <v>71</v>
      </c>
      <c r="H82" s="6"/>
    </row>
    <row r="83" spans="2:8" x14ac:dyDescent="0.35">
      <c r="B83" s="4" t="str">
        <f>IFERROR(_xlfn.TEXTJOIN("_",TRUE,Price_tbl[[#This Row],[Category]],Price_tbl[[#This Row],[Sub_category]],Price_tbl[[#This Row],[Size]],Price_tbl[[#This Row],[Unit]],Price_tbl[[#This Row],[Color]]),"")</f>
        <v>Castor_ three finger slant_8"_Set_Gold</v>
      </c>
      <c r="C83" s="5" t="s">
        <v>9</v>
      </c>
      <c r="D83" s="5" t="s">
        <v>370</v>
      </c>
      <c r="E83" s="5" t="s">
        <v>363</v>
      </c>
      <c r="F83" s="5" t="s">
        <v>359</v>
      </c>
      <c r="G83" s="5" t="s">
        <v>71</v>
      </c>
      <c r="H83" s="6"/>
    </row>
    <row r="84" spans="2:8" x14ac:dyDescent="0.35">
      <c r="B84" s="4" t="str">
        <f>IFERROR(_xlfn.TEXTJOIN("_",TRUE,Price_tbl[[#This Row],[Category]],Price_tbl[[#This Row],[Sub_category]],Price_tbl[[#This Row],[Size]],Price_tbl[[#This Row],[Unit]],Price_tbl[[#This Row],[Color]]),"")</f>
        <v>Castor_ three finger straight_2"_Set_Gold</v>
      </c>
      <c r="C84" s="5" t="s">
        <v>9</v>
      </c>
      <c r="D84" s="5" t="s">
        <v>371</v>
      </c>
      <c r="E84" s="5" t="s">
        <v>275</v>
      </c>
      <c r="F84" s="5" t="s">
        <v>359</v>
      </c>
      <c r="G84" s="5" t="s">
        <v>71</v>
      </c>
      <c r="H84" s="6"/>
    </row>
    <row r="85" spans="2:8" x14ac:dyDescent="0.35">
      <c r="B85" s="4" t="str">
        <f>IFERROR(_xlfn.TEXTJOIN("_",TRUE,Price_tbl[[#This Row],[Category]],Price_tbl[[#This Row],[Sub_category]],Price_tbl[[#This Row],[Size]],Price_tbl[[#This Row],[Unit]],Price_tbl[[#This Row],[Color]]),"")</f>
        <v>Castor_ three finger straight_3"_Set_Gold</v>
      </c>
      <c r="C85" s="5" t="s">
        <v>9</v>
      </c>
      <c r="D85" s="5" t="s">
        <v>371</v>
      </c>
      <c r="E85" s="5" t="s">
        <v>303</v>
      </c>
      <c r="F85" s="5" t="s">
        <v>359</v>
      </c>
      <c r="G85" s="5" t="s">
        <v>71</v>
      </c>
      <c r="H85" s="6"/>
    </row>
    <row r="86" spans="2:8" x14ac:dyDescent="0.35">
      <c r="B86" s="4" t="str">
        <f>IFERROR(_xlfn.TEXTJOIN("_",TRUE,Price_tbl[[#This Row],[Category]],Price_tbl[[#This Row],[Sub_category]],Price_tbl[[#This Row],[Size]],Price_tbl[[#This Row],[Unit]],Price_tbl[[#This Row],[Color]]),"")</f>
        <v>Castor_ three finger straight_4"_Set_Gold</v>
      </c>
      <c r="C86" s="5" t="s">
        <v>9</v>
      </c>
      <c r="D86" s="5" t="s">
        <v>371</v>
      </c>
      <c r="E86" s="5" t="s">
        <v>360</v>
      </c>
      <c r="F86" s="5" t="s">
        <v>359</v>
      </c>
      <c r="G86" s="5" t="s">
        <v>71</v>
      </c>
      <c r="H86" s="6">
        <v>2000</v>
      </c>
    </row>
    <row r="87" spans="2:8" x14ac:dyDescent="0.35">
      <c r="B87" s="4" t="str">
        <f>IFERROR(_xlfn.TEXTJOIN("_",TRUE,Price_tbl[[#This Row],[Category]],Price_tbl[[#This Row],[Sub_category]],Price_tbl[[#This Row],[Size]],Price_tbl[[#This Row],[Unit]],Price_tbl[[#This Row],[Color]]),"")</f>
        <v>Castor_ three finger straight_5"_Set_Gold</v>
      </c>
      <c r="C87" s="5" t="s">
        <v>9</v>
      </c>
      <c r="D87" s="5" t="s">
        <v>371</v>
      </c>
      <c r="E87" s="5" t="s">
        <v>361</v>
      </c>
      <c r="F87" s="5" t="s">
        <v>359</v>
      </c>
      <c r="G87" s="5" t="s">
        <v>71</v>
      </c>
      <c r="H87" s="6"/>
    </row>
    <row r="88" spans="2:8" x14ac:dyDescent="0.35">
      <c r="B88" s="4" t="str">
        <f>IFERROR(_xlfn.TEXTJOIN("_",TRUE,Price_tbl[[#This Row],[Category]],Price_tbl[[#This Row],[Sub_category]],Price_tbl[[#This Row],[Size]],Price_tbl[[#This Row],[Unit]],Price_tbl[[#This Row],[Color]]),"")</f>
        <v>Castor_ three finger straight_6"_Set_Gold</v>
      </c>
      <c r="C88" s="5" t="s">
        <v>9</v>
      </c>
      <c r="D88" s="5" t="s">
        <v>371</v>
      </c>
      <c r="E88" s="5" t="s">
        <v>70</v>
      </c>
      <c r="F88" s="5" t="s">
        <v>359</v>
      </c>
      <c r="G88" s="5" t="s">
        <v>71</v>
      </c>
      <c r="H88" s="6"/>
    </row>
    <row r="89" spans="2:8" x14ac:dyDescent="0.35">
      <c r="B89" s="4" t="str">
        <f>IFERROR(_xlfn.TEXTJOIN("_",TRUE,Price_tbl[[#This Row],[Category]],Price_tbl[[#This Row],[Sub_category]],Price_tbl[[#This Row],[Size]],Price_tbl[[#This Row],[Unit]],Price_tbl[[#This Row],[Color]]),"")</f>
        <v>Castor_ three finger straight_7"_Set_Gold</v>
      </c>
      <c r="C89" s="5" t="s">
        <v>9</v>
      </c>
      <c r="D89" s="5" t="s">
        <v>371</v>
      </c>
      <c r="E89" s="5" t="s">
        <v>362</v>
      </c>
      <c r="F89" s="5" t="s">
        <v>359</v>
      </c>
      <c r="G89" s="5" t="s">
        <v>71</v>
      </c>
      <c r="H89" s="6"/>
    </row>
    <row r="90" spans="2:8" x14ac:dyDescent="0.35">
      <c r="B90" s="4" t="str">
        <f>IFERROR(_xlfn.TEXTJOIN("_",TRUE,Price_tbl[[#This Row],[Category]],Price_tbl[[#This Row],[Sub_category]],Price_tbl[[#This Row],[Size]],Price_tbl[[#This Row],[Unit]],Price_tbl[[#This Row],[Color]]),"")</f>
        <v>Castor_ three finger straight_8"_Set_Gold</v>
      </c>
      <c r="C90" s="5" t="s">
        <v>9</v>
      </c>
      <c r="D90" s="5" t="s">
        <v>371</v>
      </c>
      <c r="E90" s="5" t="s">
        <v>363</v>
      </c>
      <c r="F90" s="5" t="s">
        <v>359</v>
      </c>
      <c r="G90" s="5" t="s">
        <v>71</v>
      </c>
      <c r="H90" s="6"/>
    </row>
    <row r="91" spans="2:8" x14ac:dyDescent="0.35">
      <c r="B91" s="4" t="str">
        <f>IFERROR(_xlfn.TEXTJOIN("_",TRUE,Price_tbl[[#This Row],[Category]],Price_tbl[[#This Row],[Sub_category]],Price_tbl[[#This Row],[Size]],Price_tbl[[#This Row],[Unit]],Price_tbl[[#This Row],[Color]]),"")</f>
        <v>Castor_ Plastic lshape_2"_Set_Black</v>
      </c>
      <c r="C91" s="5" t="s">
        <v>9</v>
      </c>
      <c r="D91" s="5" t="s">
        <v>372</v>
      </c>
      <c r="E91" s="5" t="s">
        <v>275</v>
      </c>
      <c r="F91" s="5" t="s">
        <v>359</v>
      </c>
      <c r="G91" s="5" t="s">
        <v>225</v>
      </c>
      <c r="H91" s="6"/>
    </row>
    <row r="92" spans="2:8" x14ac:dyDescent="0.35">
      <c r="B92" s="4" t="str">
        <f>IFERROR(_xlfn.TEXTJOIN("_",TRUE,Price_tbl[[#This Row],[Category]],Price_tbl[[#This Row],[Sub_category]],Price_tbl[[#This Row],[Size]],Price_tbl[[#This Row],[Unit]],Price_tbl[[#This Row],[Color]]),"")</f>
        <v>Castor_ Plastic lshape_3"_Set_Black</v>
      </c>
      <c r="C92" s="5" t="s">
        <v>9</v>
      </c>
      <c r="D92" s="5" t="s">
        <v>372</v>
      </c>
      <c r="E92" s="5" t="s">
        <v>303</v>
      </c>
      <c r="F92" s="5" t="s">
        <v>359</v>
      </c>
      <c r="G92" s="5" t="s">
        <v>225</v>
      </c>
      <c r="H92" s="6"/>
    </row>
    <row r="93" spans="2:8" x14ac:dyDescent="0.35">
      <c r="B93" s="4" t="str">
        <f>IFERROR(_xlfn.TEXTJOIN("_",TRUE,Price_tbl[[#This Row],[Category]],Price_tbl[[#This Row],[Sub_category]],Price_tbl[[#This Row],[Size]],Price_tbl[[#This Row],[Unit]],Price_tbl[[#This Row],[Color]]),"")</f>
        <v>Castor_ Plastic lshape_4"_Set_Black</v>
      </c>
      <c r="C93" s="5" t="s">
        <v>9</v>
      </c>
      <c r="D93" s="5" t="s">
        <v>372</v>
      </c>
      <c r="E93" s="5" t="s">
        <v>360</v>
      </c>
      <c r="F93" s="5" t="s">
        <v>359</v>
      </c>
      <c r="G93" s="5" t="s">
        <v>225</v>
      </c>
      <c r="H93" s="6"/>
    </row>
    <row r="94" spans="2:8" x14ac:dyDescent="0.35">
      <c r="B94" s="4" t="str">
        <f>IFERROR(_xlfn.TEXTJOIN("_",TRUE,Price_tbl[[#This Row],[Category]],Price_tbl[[#This Row],[Sub_category]],Price_tbl[[#This Row],[Size]],Price_tbl[[#This Row],[Unit]],Price_tbl[[#This Row],[Color]]),"")</f>
        <v>Castor_ Plastic lshape_5"_Set_Black</v>
      </c>
      <c r="C94" s="5" t="s">
        <v>9</v>
      </c>
      <c r="D94" s="5" t="s">
        <v>372</v>
      </c>
      <c r="E94" s="5" t="s">
        <v>361</v>
      </c>
      <c r="F94" s="5" t="s">
        <v>359</v>
      </c>
      <c r="G94" s="5" t="s">
        <v>225</v>
      </c>
      <c r="H94" s="6"/>
    </row>
    <row r="95" spans="2:8" x14ac:dyDescent="0.35">
      <c r="B95" s="4" t="str">
        <f>IFERROR(_xlfn.TEXTJOIN("_",TRUE,Price_tbl[[#This Row],[Category]],Price_tbl[[#This Row],[Sub_category]],Price_tbl[[#This Row],[Size]],Price_tbl[[#This Row],[Unit]],Price_tbl[[#This Row],[Color]]),"")</f>
        <v>Castor_ Plastic lshape_6"_Set_Black</v>
      </c>
      <c r="C95" s="5" t="s">
        <v>9</v>
      </c>
      <c r="D95" s="5" t="s">
        <v>372</v>
      </c>
      <c r="E95" s="5" t="s">
        <v>70</v>
      </c>
      <c r="F95" s="5" t="s">
        <v>359</v>
      </c>
      <c r="G95" s="5" t="s">
        <v>225</v>
      </c>
      <c r="H95" s="6"/>
    </row>
    <row r="96" spans="2:8" x14ac:dyDescent="0.35">
      <c r="B96" s="4" t="str">
        <f>IFERROR(_xlfn.TEXTJOIN("_",TRUE,Price_tbl[[#This Row],[Category]],Price_tbl[[#This Row],[Sub_category]],Price_tbl[[#This Row],[Size]],Price_tbl[[#This Row],[Unit]],Price_tbl[[#This Row],[Color]]),"")</f>
        <v>Castor_ alluminium lshape_2"_Set_Gold</v>
      </c>
      <c r="C96" s="5" t="s">
        <v>9</v>
      </c>
      <c r="D96" s="5" t="s">
        <v>373</v>
      </c>
      <c r="E96" s="5" t="s">
        <v>275</v>
      </c>
      <c r="F96" s="5" t="s">
        <v>359</v>
      </c>
      <c r="G96" s="5" t="s">
        <v>71</v>
      </c>
      <c r="H96" s="6"/>
    </row>
    <row r="97" spans="2:8" x14ac:dyDescent="0.35">
      <c r="B97" s="4" t="str">
        <f>IFERROR(_xlfn.TEXTJOIN("_",TRUE,Price_tbl[[#This Row],[Category]],Price_tbl[[#This Row],[Sub_category]],Price_tbl[[#This Row],[Size]],Price_tbl[[#This Row],[Unit]],Price_tbl[[#This Row],[Color]]),"")</f>
        <v>Castor_ alluminium lshape_3"_Set_Gold</v>
      </c>
      <c r="C97" s="5" t="s">
        <v>9</v>
      </c>
      <c r="D97" s="5" t="s">
        <v>373</v>
      </c>
      <c r="E97" s="5" t="s">
        <v>303</v>
      </c>
      <c r="F97" s="5" t="s">
        <v>359</v>
      </c>
      <c r="G97" s="5" t="s">
        <v>71</v>
      </c>
      <c r="H97" s="6">
        <v>3000</v>
      </c>
    </row>
    <row r="98" spans="2:8" x14ac:dyDescent="0.35">
      <c r="B98" s="4" t="str">
        <f>IFERROR(_xlfn.TEXTJOIN("_",TRUE,Price_tbl[[#This Row],[Category]],Price_tbl[[#This Row],[Sub_category]],Price_tbl[[#This Row],[Size]],Price_tbl[[#This Row],[Unit]],Price_tbl[[#This Row],[Color]]),"")</f>
        <v>Castor_ alluminium lshape_4"_Set_Gold</v>
      </c>
      <c r="C98" s="5" t="s">
        <v>9</v>
      </c>
      <c r="D98" s="5" t="s">
        <v>373</v>
      </c>
      <c r="E98" s="5" t="s">
        <v>360</v>
      </c>
      <c r="F98" s="5" t="s">
        <v>359</v>
      </c>
      <c r="G98" s="5" t="s">
        <v>71</v>
      </c>
      <c r="H98" s="6"/>
    </row>
    <row r="99" spans="2:8" x14ac:dyDescent="0.35">
      <c r="B99" s="4" t="str">
        <f>IFERROR(_xlfn.TEXTJOIN("_",TRUE,Price_tbl[[#This Row],[Category]],Price_tbl[[#This Row],[Sub_category]],Price_tbl[[#This Row],[Size]],Price_tbl[[#This Row],[Unit]],Price_tbl[[#This Row],[Color]]),"")</f>
        <v>Castor_ alluminium lshape_5"_Set_Gold</v>
      </c>
      <c r="C99" s="5" t="s">
        <v>9</v>
      </c>
      <c r="D99" s="5" t="s">
        <v>373</v>
      </c>
      <c r="E99" s="5" t="s">
        <v>361</v>
      </c>
      <c r="F99" s="5" t="s">
        <v>359</v>
      </c>
      <c r="G99" s="5" t="s">
        <v>71</v>
      </c>
      <c r="H99" s="6"/>
    </row>
    <row r="100" spans="2:8" x14ac:dyDescent="0.35">
      <c r="B100" s="4" t="str">
        <f>IFERROR(_xlfn.TEXTJOIN("_",TRUE,Price_tbl[[#This Row],[Category]],Price_tbl[[#This Row],[Sub_category]],Price_tbl[[#This Row],[Size]],Price_tbl[[#This Row],[Unit]],Price_tbl[[#This Row],[Color]]),"")</f>
        <v>Castor_ alluminium lshape_6"_Set_Gold</v>
      </c>
      <c r="C100" s="5" t="s">
        <v>9</v>
      </c>
      <c r="D100" s="5" t="s">
        <v>373</v>
      </c>
      <c r="E100" s="5" t="s">
        <v>70</v>
      </c>
      <c r="F100" s="5" t="s">
        <v>359</v>
      </c>
      <c r="G100" s="5" t="s">
        <v>71</v>
      </c>
      <c r="H100" s="6"/>
    </row>
    <row r="101" spans="2:8" x14ac:dyDescent="0.35">
      <c r="B101" s="4" t="str">
        <f>IFERROR(_xlfn.TEXTJOIN("_",TRUE,Price_tbl[[#This Row],[Category]],Price_tbl[[#This Row],[Sub_category]],Price_tbl[[#This Row],[Size]],Price_tbl[[#This Row],[Unit]],Price_tbl[[#This Row],[Color]]),"")</f>
        <v>Cabinet_hinges_Hydraulic_Pair</v>
      </c>
      <c r="C101" s="5" t="s">
        <v>10</v>
      </c>
      <c r="D101" s="5" t="s">
        <v>374</v>
      </c>
      <c r="E101" s="5"/>
      <c r="F101" s="5" t="s">
        <v>109</v>
      </c>
      <c r="G101" s="5"/>
      <c r="H101" s="6">
        <v>800</v>
      </c>
    </row>
    <row r="102" spans="2:8" x14ac:dyDescent="0.35">
      <c r="B102" s="4" t="str">
        <f>IFERROR(_xlfn.TEXTJOIN("_",TRUE,Price_tbl[[#This Row],[Category]],Price_tbl[[#This Row],[Sub_category]],Price_tbl[[#This Row],[Size]],Price_tbl[[#This Row],[Unit]],Price_tbl[[#This Row],[Color]]),"")</f>
        <v>Cabinet_hinges_ Ordinary_Pair</v>
      </c>
      <c r="C102" s="5" t="s">
        <v>10</v>
      </c>
      <c r="D102" s="5" t="s">
        <v>375</v>
      </c>
      <c r="E102" s="5"/>
      <c r="F102" s="5" t="s">
        <v>109</v>
      </c>
      <c r="G102" s="5"/>
      <c r="H102" s="6">
        <v>450</v>
      </c>
    </row>
    <row r="103" spans="2:8" x14ac:dyDescent="0.35">
      <c r="B103" s="4" t="str">
        <f>IFERROR(_xlfn.TEXTJOIN("_",TRUE,Price_tbl[[#This Row],[Category]],Price_tbl[[#This Row],[Sub_category]],Price_tbl[[#This Row],[Size]],Price_tbl[[#This Row],[Unit]],Price_tbl[[#This Row],[Color]]),"")</f>
        <v>Cabinet_hinges_ Absorber_Pair</v>
      </c>
      <c r="C103" s="5" t="s">
        <v>10</v>
      </c>
      <c r="D103" s="5" t="s">
        <v>376</v>
      </c>
      <c r="E103" s="5"/>
      <c r="F103" s="5" t="s">
        <v>109</v>
      </c>
      <c r="G103" s="5"/>
      <c r="H103" s="6"/>
    </row>
    <row r="104" spans="2:8" x14ac:dyDescent="0.35">
      <c r="B104" s="4" t="str">
        <f>IFERROR(_xlfn.TEXTJOIN("_",TRUE,Price_tbl[[#This Row],[Category]],Price_tbl[[#This Row],[Sub_category]],Price_tbl[[#This Row],[Size]],Price_tbl[[#This Row],[Unit]],Price_tbl[[#This Row],[Color]]),"")</f>
        <v>Board_Mdf ordinay_Piece</v>
      </c>
      <c r="C104" s="5" t="s">
        <v>0</v>
      </c>
      <c r="D104" s="5" t="s">
        <v>377</v>
      </c>
      <c r="E104" s="5"/>
      <c r="F104" s="5" t="s">
        <v>49</v>
      </c>
      <c r="G104" s="5"/>
      <c r="H104" s="6">
        <v>22000</v>
      </c>
    </row>
    <row r="105" spans="2:8" x14ac:dyDescent="0.35">
      <c r="B105" s="4" t="str">
        <f>IFERROR(_xlfn.TEXTJOIN("_",TRUE,Price_tbl[[#This Row],[Category]],Price_tbl[[#This Row],[Sub_category]],Price_tbl[[#This Row],[Size]],Price_tbl[[#This Row],[Unit]],Price_tbl[[#This Row],[Color]]),"")</f>
        <v>Board_Hdf ordinary_Piece</v>
      </c>
      <c r="C105" s="5" t="s">
        <v>0</v>
      </c>
      <c r="D105" s="5" t="s">
        <v>378</v>
      </c>
      <c r="E105" s="5"/>
      <c r="F105" s="5" t="s">
        <v>49</v>
      </c>
      <c r="G105" s="5"/>
      <c r="H105" s="6">
        <v>30000</v>
      </c>
    </row>
    <row r="106" spans="2:8" x14ac:dyDescent="0.35">
      <c r="B106" s="4" t="str">
        <f>IFERROR(_xlfn.TEXTJOIN("_",TRUE,Price_tbl[[#This Row],[Category]],Price_tbl[[#This Row],[Sub_category]],Price_tbl[[#This Row],[Size]],Price_tbl[[#This Row],[Unit]],Price_tbl[[#This Row],[Color]]),"")</f>
        <v>Board_ Mdf gloss_Piece</v>
      </c>
      <c r="C106" s="5" t="s">
        <v>0</v>
      </c>
      <c r="D106" s="5" t="s">
        <v>379</v>
      </c>
      <c r="E106" s="5"/>
      <c r="F106" s="5" t="s">
        <v>49</v>
      </c>
      <c r="G106" s="5"/>
      <c r="H106" s="6">
        <v>37000</v>
      </c>
    </row>
    <row r="107" spans="2:8" x14ac:dyDescent="0.35">
      <c r="B107" s="4" t="str">
        <f>IFERROR(_xlfn.TEXTJOIN("_",TRUE,Price_tbl[[#This Row],[Category]],Price_tbl[[#This Row],[Sub_category]],Price_tbl[[#This Row],[Size]],Price_tbl[[#This Row],[Unit]],Price_tbl[[#This Row],[Color]]),"")</f>
        <v>Board_ Hdf gloss_Piece</v>
      </c>
      <c r="C107" s="5" t="s">
        <v>0</v>
      </c>
      <c r="D107" s="5" t="s">
        <v>380</v>
      </c>
      <c r="E107" s="5"/>
      <c r="F107" s="5" t="s">
        <v>49</v>
      </c>
      <c r="G107" s="5"/>
      <c r="H107" s="6">
        <v>57000</v>
      </c>
    </row>
    <row r="108" spans="2:8" x14ac:dyDescent="0.35">
      <c r="B108" s="4" t="str">
        <f>IFERROR(_xlfn.TEXTJOIN("_",TRUE,Price_tbl[[#This Row],[Category]],Price_tbl[[#This Row],[Sub_category]],Price_tbl[[#This Row],[Size]],Price_tbl[[#This Row],[Unit]],Price_tbl[[#This Row],[Color]]),"")</f>
        <v>Board_ Marine_Piece</v>
      </c>
      <c r="C108" s="5" t="s">
        <v>0</v>
      </c>
      <c r="D108" s="5" t="s">
        <v>381</v>
      </c>
      <c r="E108" s="5"/>
      <c r="F108" s="5" t="s">
        <v>49</v>
      </c>
      <c r="G108" s="5"/>
      <c r="H108" s="6"/>
    </row>
    <row r="109" spans="2:8" x14ac:dyDescent="0.35">
      <c r="B109" s="4" t="str">
        <f>IFERROR(_xlfn.TEXTJOIN("_",TRUE,Price_tbl[[#This Row],[Category]],Price_tbl[[#This Row],[Sub_category]],Price_tbl[[#This Row],[Size]],Price_tbl[[#This Row],[Unit]],Price_tbl[[#This Row],[Color]]),"")</f>
        <v>Board_ aco_Piece</v>
      </c>
      <c r="C109" s="5" t="s">
        <v>0</v>
      </c>
      <c r="D109" s="5" t="s">
        <v>382</v>
      </c>
      <c r="E109" s="5"/>
      <c r="F109" s="5" t="s">
        <v>49</v>
      </c>
      <c r="G109" s="5"/>
      <c r="H109" s="6"/>
    </row>
    <row r="110" spans="2:8" x14ac:dyDescent="0.35">
      <c r="B110" s="4" t="str">
        <f>IFERROR(_xlfn.TEXTJOIN("_",TRUE,Price_tbl[[#This Row],[Category]],Price_tbl[[#This Row],[Sub_category]],Price_tbl[[#This Row],[Size]],Price_tbl[[#This Row],[Unit]],Price_tbl[[#This Row],[Color]]),"")</f>
        <v>Board_ flutted panel_Piece</v>
      </c>
      <c r="C110" s="5" t="s">
        <v>0</v>
      </c>
      <c r="D110" s="5" t="s">
        <v>383</v>
      </c>
      <c r="E110" s="5"/>
      <c r="F110" s="5" t="s">
        <v>49</v>
      </c>
      <c r="G110" s="5"/>
      <c r="H110" s="6">
        <v>6000</v>
      </c>
    </row>
    <row r="111" spans="2:8" x14ac:dyDescent="0.35">
      <c r="B111" s="4" t="str">
        <f>IFERROR(_xlfn.TEXTJOIN("_",TRUE,Price_tbl[[#This Row],[Category]],Price_tbl[[#This Row],[Sub_category]],Price_tbl[[#This Row],[Size]],Price_tbl[[#This Row],[Unit]],Price_tbl[[#This Row],[Color]]),"")</f>
        <v>Board_ cardboard_Piece</v>
      </c>
      <c r="C111" s="5" t="s">
        <v>0</v>
      </c>
      <c r="D111" s="5" t="s">
        <v>384</v>
      </c>
      <c r="E111" s="5"/>
      <c r="F111" s="5" t="s">
        <v>49</v>
      </c>
      <c r="G111" s="5"/>
      <c r="H111" s="6"/>
    </row>
    <row r="112" spans="2:8" x14ac:dyDescent="0.35">
      <c r="B112" s="4" t="str">
        <f>IFERROR(_xlfn.TEXTJOIN("_",TRUE,Price_tbl[[#This Row],[Category]],Price_tbl[[#This Row],[Sub_category]],Price_tbl[[#This Row],[Size]],Price_tbl[[#This Row],[Unit]],Price_tbl[[#This Row],[Color]]),"")</f>
        <v>Cushion_Blue_0.5"_Piece</v>
      </c>
      <c r="C112" s="5" t="s">
        <v>320</v>
      </c>
      <c r="D112" s="5" t="s">
        <v>385</v>
      </c>
      <c r="E112" s="5" t="s">
        <v>257</v>
      </c>
      <c r="F112" s="5" t="s">
        <v>49</v>
      </c>
      <c r="G112" s="5"/>
      <c r="H112" s="6"/>
    </row>
    <row r="113" spans="2:8" x14ac:dyDescent="0.35">
      <c r="B113" s="4" t="str">
        <f>IFERROR(_xlfn.TEXTJOIN("_",TRUE,Price_tbl[[#This Row],[Category]],Price_tbl[[#This Row],[Sub_category]],Price_tbl[[#This Row],[Size]],Price_tbl[[#This Row],[Unit]],Price_tbl[[#This Row],[Color]]),"")</f>
        <v>Cushion_Blue_1"_Piece</v>
      </c>
      <c r="C113" s="5" t="s">
        <v>320</v>
      </c>
      <c r="D113" s="5" t="s">
        <v>385</v>
      </c>
      <c r="E113" s="5" t="s">
        <v>264</v>
      </c>
      <c r="F113" s="5" t="s">
        <v>49</v>
      </c>
      <c r="G113" s="5"/>
      <c r="H113" s="6">
        <v>3500</v>
      </c>
    </row>
    <row r="114" spans="2:8" x14ac:dyDescent="0.35">
      <c r="B114" s="4" t="str">
        <f>IFERROR(_xlfn.TEXTJOIN("_",TRUE,Price_tbl[[#This Row],[Category]],Price_tbl[[#This Row],[Sub_category]],Price_tbl[[#This Row],[Size]],Price_tbl[[#This Row],[Unit]],Price_tbl[[#This Row],[Color]]),"")</f>
        <v>Cushion_Blue_1.5"_Piece</v>
      </c>
      <c r="C114" s="5" t="s">
        <v>320</v>
      </c>
      <c r="D114" s="5" t="s">
        <v>385</v>
      </c>
      <c r="E114" s="5" t="s">
        <v>270</v>
      </c>
      <c r="F114" s="5" t="s">
        <v>49</v>
      </c>
      <c r="G114" s="5"/>
      <c r="H114" s="6"/>
    </row>
    <row r="115" spans="2:8" x14ac:dyDescent="0.35">
      <c r="B115" s="4" t="str">
        <f>IFERROR(_xlfn.TEXTJOIN("_",TRUE,Price_tbl[[#This Row],[Category]],Price_tbl[[#This Row],[Sub_category]],Price_tbl[[#This Row],[Size]],Price_tbl[[#This Row],[Unit]],Price_tbl[[#This Row],[Color]]),"")</f>
        <v>Cushion_Blue_2"_Piece</v>
      </c>
      <c r="C115" s="5" t="s">
        <v>320</v>
      </c>
      <c r="D115" s="5" t="s">
        <v>385</v>
      </c>
      <c r="E115" s="5" t="s">
        <v>275</v>
      </c>
      <c r="F115" s="5" t="s">
        <v>49</v>
      </c>
      <c r="G115" s="5"/>
      <c r="H115" s="6">
        <v>6500</v>
      </c>
    </row>
    <row r="116" spans="2:8" x14ac:dyDescent="0.35">
      <c r="B116" s="4" t="str">
        <f>IFERROR(_xlfn.TEXTJOIN("_",TRUE,Price_tbl[[#This Row],[Category]],Price_tbl[[#This Row],[Sub_category]],Price_tbl[[#This Row],[Size]],Price_tbl[[#This Row],[Unit]],Price_tbl[[#This Row],[Color]]),"")</f>
        <v>Cushion_Blue_2.5"_Piece</v>
      </c>
      <c r="C116" s="5" t="s">
        <v>320</v>
      </c>
      <c r="D116" s="5" t="s">
        <v>385</v>
      </c>
      <c r="E116" s="5" t="s">
        <v>280</v>
      </c>
      <c r="F116" s="5" t="s">
        <v>49</v>
      </c>
      <c r="G116" s="5"/>
      <c r="H116" s="6"/>
    </row>
    <row r="117" spans="2:8" x14ac:dyDescent="0.35">
      <c r="B117" s="4" t="str">
        <f>IFERROR(_xlfn.TEXTJOIN("_",TRUE,Price_tbl[[#This Row],[Category]],Price_tbl[[#This Row],[Sub_category]],Price_tbl[[#This Row],[Size]],Price_tbl[[#This Row],[Unit]],Price_tbl[[#This Row],[Color]]),"")</f>
        <v>Cushion_Blue_3"_Piece</v>
      </c>
      <c r="C117" s="5" t="s">
        <v>320</v>
      </c>
      <c r="D117" s="5" t="s">
        <v>385</v>
      </c>
      <c r="E117" s="5" t="s">
        <v>303</v>
      </c>
      <c r="F117" s="5" t="s">
        <v>49</v>
      </c>
      <c r="G117" s="5"/>
      <c r="H117" s="6">
        <v>16500</v>
      </c>
    </row>
    <row r="118" spans="2:8" x14ac:dyDescent="0.35">
      <c r="B118" s="4" t="str">
        <f>IFERROR(_xlfn.TEXTJOIN("_",TRUE,Price_tbl[[#This Row],[Category]],Price_tbl[[#This Row],[Sub_category]],Price_tbl[[#This Row],[Size]],Price_tbl[[#This Row],[Unit]],Price_tbl[[#This Row],[Color]]),"")</f>
        <v>Cushion_Blue_3.5"_Piece</v>
      </c>
      <c r="C118" s="5" t="s">
        <v>320</v>
      </c>
      <c r="D118" s="5" t="s">
        <v>385</v>
      </c>
      <c r="E118" s="5" t="s">
        <v>386</v>
      </c>
      <c r="F118" s="5" t="s">
        <v>49</v>
      </c>
      <c r="G118" s="5"/>
      <c r="H118" s="6"/>
    </row>
    <row r="119" spans="2:8" x14ac:dyDescent="0.35">
      <c r="B119" s="4" t="str">
        <f>IFERROR(_xlfn.TEXTJOIN("_",TRUE,Price_tbl[[#This Row],[Category]],Price_tbl[[#This Row],[Sub_category]],Price_tbl[[#This Row],[Size]],Price_tbl[[#This Row],[Unit]],Price_tbl[[#This Row],[Color]]),"")</f>
        <v>Cushion_Blue_4"_Piece</v>
      </c>
      <c r="C119" s="5" t="s">
        <v>320</v>
      </c>
      <c r="D119" s="5" t="s">
        <v>385</v>
      </c>
      <c r="E119" s="5" t="s">
        <v>360</v>
      </c>
      <c r="F119" s="5" t="s">
        <v>49</v>
      </c>
      <c r="G119" s="5"/>
      <c r="H119" s="6">
        <v>15000</v>
      </c>
    </row>
    <row r="120" spans="2:8" x14ac:dyDescent="0.35">
      <c r="B120" s="4" t="str">
        <f>IFERROR(_xlfn.TEXTJOIN("_",TRUE,Price_tbl[[#This Row],[Category]],Price_tbl[[#This Row],[Sub_category]],Price_tbl[[#This Row],[Size]],Price_tbl[[#This Row],[Unit]],Price_tbl[[#This Row],[Color]]),"")</f>
        <v>Cushion_Blue_4.5"_Piece</v>
      </c>
      <c r="C120" s="5" t="s">
        <v>320</v>
      </c>
      <c r="D120" s="5" t="s">
        <v>385</v>
      </c>
      <c r="E120" s="5" t="s">
        <v>387</v>
      </c>
      <c r="F120" s="5" t="s">
        <v>49</v>
      </c>
      <c r="G120" s="5"/>
      <c r="H120" s="6"/>
    </row>
    <row r="121" spans="2:8" x14ac:dyDescent="0.35">
      <c r="B121" s="4" t="str">
        <f>IFERROR(_xlfn.TEXTJOIN("_",TRUE,Price_tbl[[#This Row],[Category]],Price_tbl[[#This Row],[Sub_category]],Price_tbl[[#This Row],[Size]],Price_tbl[[#This Row],[Unit]],Price_tbl[[#This Row],[Color]]),"")</f>
        <v>Cushion_Blue_5"_Piece</v>
      </c>
      <c r="C121" s="5" t="s">
        <v>320</v>
      </c>
      <c r="D121" s="5" t="s">
        <v>385</v>
      </c>
      <c r="E121" s="5" t="s">
        <v>361</v>
      </c>
      <c r="F121" s="5" t="s">
        <v>49</v>
      </c>
      <c r="G121" s="5"/>
      <c r="H121" s="6">
        <v>18000</v>
      </c>
    </row>
    <row r="122" spans="2:8" x14ac:dyDescent="0.35">
      <c r="B122" s="4" t="str">
        <f>IFERROR(_xlfn.TEXTJOIN("_",TRUE,Price_tbl[[#This Row],[Category]],Price_tbl[[#This Row],[Sub_category]],Price_tbl[[#This Row],[Size]],Price_tbl[[#This Row],[Unit]],Price_tbl[[#This Row],[Color]]),"")</f>
        <v>Cushion_Blue_5.5"_Piece</v>
      </c>
      <c r="C122" s="5" t="s">
        <v>320</v>
      </c>
      <c r="D122" s="5" t="s">
        <v>385</v>
      </c>
      <c r="E122" s="5" t="s">
        <v>388</v>
      </c>
      <c r="F122" s="5" t="s">
        <v>49</v>
      </c>
      <c r="G122" s="5"/>
      <c r="H122" s="6"/>
    </row>
    <row r="123" spans="2:8" x14ac:dyDescent="0.35">
      <c r="B123" s="4" t="str">
        <f>IFERROR(_xlfn.TEXTJOIN("_",TRUE,Price_tbl[[#This Row],[Category]],Price_tbl[[#This Row],[Sub_category]],Price_tbl[[#This Row],[Size]],Price_tbl[[#This Row],[Unit]],Price_tbl[[#This Row],[Color]]),"")</f>
        <v>Cushion_Blue_6"_Piece</v>
      </c>
      <c r="C123" s="5" t="s">
        <v>320</v>
      </c>
      <c r="D123" s="5" t="s">
        <v>385</v>
      </c>
      <c r="E123" s="5" t="s">
        <v>70</v>
      </c>
      <c r="F123" s="5" t="s">
        <v>49</v>
      </c>
      <c r="G123" s="5"/>
      <c r="H123" s="6"/>
    </row>
    <row r="124" spans="2:8" x14ac:dyDescent="0.35">
      <c r="B124" s="4" t="str">
        <f>IFERROR(_xlfn.TEXTJOIN("_",TRUE,Price_tbl[[#This Row],[Category]],Price_tbl[[#This Row],[Sub_category]],Price_tbl[[#This Row],[Size]],Price_tbl[[#This Row],[Unit]],Price_tbl[[#This Row],[Color]]),"")</f>
        <v>Cushion_ Lemon_0.5"_Piece</v>
      </c>
      <c r="C124" s="5" t="s">
        <v>320</v>
      </c>
      <c r="D124" s="5" t="s">
        <v>389</v>
      </c>
      <c r="E124" s="5" t="s">
        <v>257</v>
      </c>
      <c r="F124" s="5" t="s">
        <v>49</v>
      </c>
      <c r="G124" s="5"/>
      <c r="H124" s="6"/>
    </row>
    <row r="125" spans="2:8" x14ac:dyDescent="0.35">
      <c r="B125" s="4" t="str">
        <f>IFERROR(_xlfn.TEXTJOIN("_",TRUE,Price_tbl[[#This Row],[Category]],Price_tbl[[#This Row],[Sub_category]],Price_tbl[[#This Row],[Size]],Price_tbl[[#This Row],[Unit]],Price_tbl[[#This Row],[Color]]),"")</f>
        <v>Cushion_ Lemon_1"_Piece</v>
      </c>
      <c r="C125" s="5" t="s">
        <v>320</v>
      </c>
      <c r="D125" s="5" t="s">
        <v>389</v>
      </c>
      <c r="E125" s="5" t="s">
        <v>264</v>
      </c>
      <c r="F125" s="5" t="s">
        <v>49</v>
      </c>
      <c r="G125" s="5"/>
      <c r="H125" s="6">
        <v>7500</v>
      </c>
    </row>
    <row r="126" spans="2:8" x14ac:dyDescent="0.35">
      <c r="B126" s="4" t="str">
        <f>IFERROR(_xlfn.TEXTJOIN("_",TRUE,Price_tbl[[#This Row],[Category]],Price_tbl[[#This Row],[Sub_category]],Price_tbl[[#This Row],[Size]],Price_tbl[[#This Row],[Unit]],Price_tbl[[#This Row],[Color]]),"")</f>
        <v>Cushion_ Lemon_1.5"_Piece</v>
      </c>
      <c r="C126" s="5" t="s">
        <v>320</v>
      </c>
      <c r="D126" s="5" t="s">
        <v>389</v>
      </c>
      <c r="E126" s="5" t="s">
        <v>270</v>
      </c>
      <c r="F126" s="5" t="s">
        <v>49</v>
      </c>
      <c r="G126" s="5"/>
      <c r="H126" s="6"/>
    </row>
    <row r="127" spans="2:8" x14ac:dyDescent="0.35">
      <c r="B127" s="4" t="str">
        <f>IFERROR(_xlfn.TEXTJOIN("_",TRUE,Price_tbl[[#This Row],[Category]],Price_tbl[[#This Row],[Sub_category]],Price_tbl[[#This Row],[Size]],Price_tbl[[#This Row],[Unit]],Price_tbl[[#This Row],[Color]]),"")</f>
        <v>Cushion_ Lemon_2"_Piece</v>
      </c>
      <c r="C127" s="5" t="s">
        <v>320</v>
      </c>
      <c r="D127" s="5" t="s">
        <v>389</v>
      </c>
      <c r="E127" s="5" t="s">
        <v>275</v>
      </c>
      <c r="F127" s="5" t="s">
        <v>49</v>
      </c>
      <c r="G127" s="5"/>
      <c r="H127" s="6">
        <v>15000</v>
      </c>
    </row>
    <row r="128" spans="2:8" x14ac:dyDescent="0.35">
      <c r="B128" s="4" t="str">
        <f>IFERROR(_xlfn.TEXTJOIN("_",TRUE,Price_tbl[[#This Row],[Category]],Price_tbl[[#This Row],[Sub_category]],Price_tbl[[#This Row],[Size]],Price_tbl[[#This Row],[Unit]],Price_tbl[[#This Row],[Color]]),"")</f>
        <v>Cushion_ Lemon_2.5"_Piece</v>
      </c>
      <c r="C128" s="5" t="s">
        <v>320</v>
      </c>
      <c r="D128" s="5" t="s">
        <v>389</v>
      </c>
      <c r="E128" s="5" t="s">
        <v>280</v>
      </c>
      <c r="F128" s="5" t="s">
        <v>49</v>
      </c>
      <c r="G128" s="5"/>
      <c r="H128" s="6"/>
    </row>
    <row r="129" spans="2:8" x14ac:dyDescent="0.35">
      <c r="B129" s="4" t="str">
        <f>IFERROR(_xlfn.TEXTJOIN("_",TRUE,Price_tbl[[#This Row],[Category]],Price_tbl[[#This Row],[Sub_category]],Price_tbl[[#This Row],[Size]],Price_tbl[[#This Row],[Unit]],Price_tbl[[#This Row],[Color]]),"")</f>
        <v>Cushion_ Lemon_3"_Piece</v>
      </c>
      <c r="C129" s="5" t="s">
        <v>320</v>
      </c>
      <c r="D129" s="5" t="s">
        <v>389</v>
      </c>
      <c r="E129" s="5" t="s">
        <v>303</v>
      </c>
      <c r="F129" s="5" t="s">
        <v>49</v>
      </c>
      <c r="G129" s="5"/>
      <c r="H129" s="6">
        <v>22500</v>
      </c>
    </row>
    <row r="130" spans="2:8" x14ac:dyDescent="0.35">
      <c r="B130" s="4" t="str">
        <f>IFERROR(_xlfn.TEXTJOIN("_",TRUE,Price_tbl[[#This Row],[Category]],Price_tbl[[#This Row],[Sub_category]],Price_tbl[[#This Row],[Size]],Price_tbl[[#This Row],[Unit]],Price_tbl[[#This Row],[Color]]),"")</f>
        <v>Cushion_ Lemon_3.5"_Piece</v>
      </c>
      <c r="C130" s="5" t="s">
        <v>320</v>
      </c>
      <c r="D130" s="5" t="s">
        <v>389</v>
      </c>
      <c r="E130" s="5" t="s">
        <v>386</v>
      </c>
      <c r="F130" s="5" t="s">
        <v>49</v>
      </c>
      <c r="G130" s="5"/>
      <c r="H130" s="6"/>
    </row>
    <row r="131" spans="2:8" x14ac:dyDescent="0.35">
      <c r="B131" s="4" t="str">
        <f>IFERROR(_xlfn.TEXTJOIN("_",TRUE,Price_tbl[[#This Row],[Category]],Price_tbl[[#This Row],[Sub_category]],Price_tbl[[#This Row],[Size]],Price_tbl[[#This Row],[Unit]],Price_tbl[[#This Row],[Color]]),"")</f>
        <v>Cushion_ Lemon_4"_Piece</v>
      </c>
      <c r="C131" s="5" t="s">
        <v>320</v>
      </c>
      <c r="D131" s="5" t="s">
        <v>389</v>
      </c>
      <c r="E131" s="5" t="s">
        <v>360</v>
      </c>
      <c r="F131" s="5" t="s">
        <v>49</v>
      </c>
      <c r="G131" s="5"/>
      <c r="H131" s="6">
        <v>30000</v>
      </c>
    </row>
    <row r="132" spans="2:8" x14ac:dyDescent="0.35">
      <c r="B132" s="4" t="str">
        <f>IFERROR(_xlfn.TEXTJOIN("_",TRUE,Price_tbl[[#This Row],[Category]],Price_tbl[[#This Row],[Sub_category]],Price_tbl[[#This Row],[Size]],Price_tbl[[#This Row],[Unit]],Price_tbl[[#This Row],[Color]]),"")</f>
        <v>Cushion_ Lemon_4.5"_Piece</v>
      </c>
      <c r="C132" s="5" t="s">
        <v>320</v>
      </c>
      <c r="D132" s="5" t="s">
        <v>389</v>
      </c>
      <c r="E132" s="5" t="s">
        <v>387</v>
      </c>
      <c r="F132" s="5" t="s">
        <v>49</v>
      </c>
      <c r="G132" s="5"/>
      <c r="H132" s="6"/>
    </row>
    <row r="133" spans="2:8" x14ac:dyDescent="0.35">
      <c r="B133" s="4" t="str">
        <f>IFERROR(_xlfn.TEXTJOIN("_",TRUE,Price_tbl[[#This Row],[Category]],Price_tbl[[#This Row],[Sub_category]],Price_tbl[[#This Row],[Size]],Price_tbl[[#This Row],[Unit]],Price_tbl[[#This Row],[Color]]),"")</f>
        <v>Cushion_ Lemon_5"_Piece</v>
      </c>
      <c r="C133" s="5" t="s">
        <v>320</v>
      </c>
      <c r="D133" s="5" t="s">
        <v>389</v>
      </c>
      <c r="E133" s="5" t="s">
        <v>361</v>
      </c>
      <c r="F133" s="5" t="s">
        <v>49</v>
      </c>
      <c r="G133" s="5"/>
      <c r="H133" s="6">
        <v>42000</v>
      </c>
    </row>
    <row r="134" spans="2:8" x14ac:dyDescent="0.35">
      <c r="B134" s="4" t="str">
        <f>IFERROR(_xlfn.TEXTJOIN("_",TRUE,Price_tbl[[#This Row],[Category]],Price_tbl[[#This Row],[Sub_category]],Price_tbl[[#This Row],[Size]],Price_tbl[[#This Row],[Unit]],Price_tbl[[#This Row],[Color]]),"")</f>
        <v>Cushion_ Lemon_5.5"_Piece</v>
      </c>
      <c r="C134" s="5" t="s">
        <v>320</v>
      </c>
      <c r="D134" s="5" t="s">
        <v>389</v>
      </c>
      <c r="E134" s="5" t="s">
        <v>388</v>
      </c>
      <c r="F134" s="5" t="s">
        <v>49</v>
      </c>
      <c r="G134" s="5"/>
      <c r="H134" s="6"/>
    </row>
    <row r="135" spans="2:8" x14ac:dyDescent="0.35">
      <c r="B135" s="4" t="str">
        <f>IFERROR(_xlfn.TEXTJOIN("_",TRUE,Price_tbl[[#This Row],[Category]],Price_tbl[[#This Row],[Sub_category]],Price_tbl[[#This Row],[Size]],Price_tbl[[#This Row],[Unit]],Price_tbl[[#This Row],[Color]]),"")</f>
        <v>Cushion_ Lemon_6"_Piece</v>
      </c>
      <c r="C135" s="5" t="s">
        <v>320</v>
      </c>
      <c r="D135" s="5" t="s">
        <v>389</v>
      </c>
      <c r="E135" s="5" t="s">
        <v>70</v>
      </c>
      <c r="F135" s="5" t="s">
        <v>49</v>
      </c>
      <c r="G135" s="5"/>
      <c r="H135" s="6">
        <v>54000</v>
      </c>
    </row>
    <row r="136" spans="2:8" x14ac:dyDescent="0.35">
      <c r="B136" s="4" t="str">
        <f>IFERROR(_xlfn.TEXTJOIN("_",TRUE,Price_tbl[[#This Row],[Category]],Price_tbl[[#This Row],[Sub_category]],Price_tbl[[#This Row],[Size]],Price_tbl[[#This Row],[Unit]],Price_tbl[[#This Row],[Color]]),"")</f>
        <v>Cushion_ grey_0.5"_Piece</v>
      </c>
      <c r="C136" s="5" t="s">
        <v>320</v>
      </c>
      <c r="D136" s="5" t="s">
        <v>390</v>
      </c>
      <c r="E136" s="5" t="s">
        <v>257</v>
      </c>
      <c r="F136" s="5" t="s">
        <v>49</v>
      </c>
      <c r="G136" s="5"/>
      <c r="H136" s="6"/>
    </row>
    <row r="137" spans="2:8" x14ac:dyDescent="0.35">
      <c r="B137" s="4" t="str">
        <f>IFERROR(_xlfn.TEXTJOIN("_",TRUE,Price_tbl[[#This Row],[Category]],Price_tbl[[#This Row],[Sub_category]],Price_tbl[[#This Row],[Size]],Price_tbl[[#This Row],[Unit]],Price_tbl[[#This Row],[Color]]),"")</f>
        <v>Cushion_ grey_1"_Piece</v>
      </c>
      <c r="C137" s="5" t="s">
        <v>320</v>
      </c>
      <c r="D137" s="5" t="s">
        <v>390</v>
      </c>
      <c r="E137" s="5" t="s">
        <v>264</v>
      </c>
      <c r="F137" s="5" t="s">
        <v>49</v>
      </c>
      <c r="G137" s="5"/>
      <c r="H137" s="6">
        <v>10500</v>
      </c>
    </row>
    <row r="138" spans="2:8" x14ac:dyDescent="0.35">
      <c r="B138" s="4" t="str">
        <f>IFERROR(_xlfn.TEXTJOIN("_",TRUE,Price_tbl[[#This Row],[Category]],Price_tbl[[#This Row],[Sub_category]],Price_tbl[[#This Row],[Size]],Price_tbl[[#This Row],[Unit]],Price_tbl[[#This Row],[Color]]),"")</f>
        <v>Cushion_ grey_1.5"_Piece</v>
      </c>
      <c r="C138" s="5" t="s">
        <v>320</v>
      </c>
      <c r="D138" s="5" t="s">
        <v>390</v>
      </c>
      <c r="E138" s="5" t="s">
        <v>270</v>
      </c>
      <c r="F138" s="5" t="s">
        <v>49</v>
      </c>
      <c r="G138" s="5"/>
      <c r="H138" s="6"/>
    </row>
    <row r="139" spans="2:8" x14ac:dyDescent="0.35">
      <c r="B139" s="4" t="str">
        <f>IFERROR(_xlfn.TEXTJOIN("_",TRUE,Price_tbl[[#This Row],[Category]],Price_tbl[[#This Row],[Sub_category]],Price_tbl[[#This Row],[Size]],Price_tbl[[#This Row],[Unit]],Price_tbl[[#This Row],[Color]]),"")</f>
        <v>Cushion_ grey_2"_Piece</v>
      </c>
      <c r="C139" s="5" t="s">
        <v>320</v>
      </c>
      <c r="D139" s="5" t="s">
        <v>390</v>
      </c>
      <c r="E139" s="5" t="s">
        <v>275</v>
      </c>
      <c r="F139" s="5" t="s">
        <v>49</v>
      </c>
      <c r="G139" s="5"/>
      <c r="H139" s="6">
        <v>21000</v>
      </c>
    </row>
    <row r="140" spans="2:8" x14ac:dyDescent="0.35">
      <c r="B140" s="4" t="str">
        <f>IFERROR(_xlfn.TEXTJOIN("_",TRUE,Price_tbl[[#This Row],[Category]],Price_tbl[[#This Row],[Sub_category]],Price_tbl[[#This Row],[Size]],Price_tbl[[#This Row],[Unit]],Price_tbl[[#This Row],[Color]]),"")</f>
        <v>Cushion_ grey_2.5"_Piece</v>
      </c>
      <c r="C140" s="5" t="s">
        <v>320</v>
      </c>
      <c r="D140" s="5" t="s">
        <v>390</v>
      </c>
      <c r="E140" s="5" t="s">
        <v>280</v>
      </c>
      <c r="F140" s="5" t="s">
        <v>49</v>
      </c>
      <c r="G140" s="5"/>
      <c r="H140" s="6"/>
    </row>
    <row r="141" spans="2:8" x14ac:dyDescent="0.35">
      <c r="B141" s="4" t="str">
        <f>IFERROR(_xlfn.TEXTJOIN("_",TRUE,Price_tbl[[#This Row],[Category]],Price_tbl[[#This Row],[Sub_category]],Price_tbl[[#This Row],[Size]],Price_tbl[[#This Row],[Unit]],Price_tbl[[#This Row],[Color]]),"")</f>
        <v>Cushion_ grey_3"_Piece</v>
      </c>
      <c r="C141" s="5" t="s">
        <v>320</v>
      </c>
      <c r="D141" s="5" t="s">
        <v>390</v>
      </c>
      <c r="E141" s="5" t="s">
        <v>303</v>
      </c>
      <c r="F141" s="5" t="s">
        <v>49</v>
      </c>
      <c r="G141" s="5"/>
      <c r="H141" s="6">
        <v>31500</v>
      </c>
    </row>
    <row r="142" spans="2:8" x14ac:dyDescent="0.35">
      <c r="B142" s="4" t="str">
        <f>IFERROR(_xlfn.TEXTJOIN("_",TRUE,Price_tbl[[#This Row],[Category]],Price_tbl[[#This Row],[Sub_category]],Price_tbl[[#This Row],[Size]],Price_tbl[[#This Row],[Unit]],Price_tbl[[#This Row],[Color]]),"")</f>
        <v>Cushion_ grey_3.5"_Piece</v>
      </c>
      <c r="C142" s="5" t="s">
        <v>320</v>
      </c>
      <c r="D142" s="5" t="s">
        <v>390</v>
      </c>
      <c r="E142" s="5" t="s">
        <v>386</v>
      </c>
      <c r="F142" s="5" t="s">
        <v>49</v>
      </c>
      <c r="G142" s="5"/>
      <c r="H142" s="6"/>
    </row>
    <row r="143" spans="2:8" x14ac:dyDescent="0.35">
      <c r="B143" s="4" t="str">
        <f>IFERROR(_xlfn.TEXTJOIN("_",TRUE,Price_tbl[[#This Row],[Category]],Price_tbl[[#This Row],[Sub_category]],Price_tbl[[#This Row],[Size]],Price_tbl[[#This Row],[Unit]],Price_tbl[[#This Row],[Color]]),"")</f>
        <v>Cushion_ grey_4"_Piece</v>
      </c>
      <c r="C143" s="5" t="s">
        <v>320</v>
      </c>
      <c r="D143" s="5" t="s">
        <v>390</v>
      </c>
      <c r="E143" s="5" t="s">
        <v>360</v>
      </c>
      <c r="F143" s="5" t="s">
        <v>49</v>
      </c>
      <c r="G143" s="5"/>
      <c r="H143" s="6">
        <v>42000</v>
      </c>
    </row>
    <row r="144" spans="2:8" x14ac:dyDescent="0.35">
      <c r="B144" s="4" t="str">
        <f>IFERROR(_xlfn.TEXTJOIN("_",TRUE,Price_tbl[[#This Row],[Category]],Price_tbl[[#This Row],[Sub_category]],Price_tbl[[#This Row],[Size]],Price_tbl[[#This Row],[Unit]],Price_tbl[[#This Row],[Color]]),"")</f>
        <v>Cushion_ grey_4.5"_Piece</v>
      </c>
      <c r="C144" s="5" t="s">
        <v>320</v>
      </c>
      <c r="D144" s="5" t="s">
        <v>390</v>
      </c>
      <c r="E144" s="5" t="s">
        <v>387</v>
      </c>
      <c r="F144" s="5" t="s">
        <v>49</v>
      </c>
      <c r="G144" s="5"/>
      <c r="H144" s="6"/>
    </row>
    <row r="145" spans="2:8" x14ac:dyDescent="0.35">
      <c r="B145" s="4" t="str">
        <f>IFERROR(_xlfn.TEXTJOIN("_",TRUE,Price_tbl[[#This Row],[Category]],Price_tbl[[#This Row],[Sub_category]],Price_tbl[[#This Row],[Size]],Price_tbl[[#This Row],[Unit]],Price_tbl[[#This Row],[Color]]),"")</f>
        <v>Cushion_ grey_5"_Piece</v>
      </c>
      <c r="C145" s="5" t="s">
        <v>320</v>
      </c>
      <c r="D145" s="5" t="s">
        <v>390</v>
      </c>
      <c r="E145" s="5" t="s">
        <v>361</v>
      </c>
      <c r="F145" s="5" t="s">
        <v>49</v>
      </c>
      <c r="G145" s="5"/>
      <c r="H145" s="6">
        <v>54000</v>
      </c>
    </row>
    <row r="146" spans="2:8" x14ac:dyDescent="0.35">
      <c r="B146" s="4" t="str">
        <f>IFERROR(_xlfn.TEXTJOIN("_",TRUE,Price_tbl[[#This Row],[Category]],Price_tbl[[#This Row],[Sub_category]],Price_tbl[[#This Row],[Size]],Price_tbl[[#This Row],[Unit]],Price_tbl[[#This Row],[Color]]),"")</f>
        <v>Cushion_ grey_5.5"_Piece</v>
      </c>
      <c r="C146" s="5" t="s">
        <v>320</v>
      </c>
      <c r="D146" s="5" t="s">
        <v>390</v>
      </c>
      <c r="E146" s="5" t="s">
        <v>388</v>
      </c>
      <c r="F146" s="5" t="s">
        <v>49</v>
      </c>
      <c r="G146" s="5"/>
      <c r="H146" s="6"/>
    </row>
    <row r="147" spans="2:8" x14ac:dyDescent="0.35">
      <c r="B147" s="4" t="str">
        <f>IFERROR(_xlfn.TEXTJOIN("_",TRUE,Price_tbl[[#This Row],[Category]],Price_tbl[[#This Row],[Sub_category]],Price_tbl[[#This Row],[Size]],Price_tbl[[#This Row],[Unit]],Price_tbl[[#This Row],[Color]]),"")</f>
        <v>Cushion_ grey_6"_Piece</v>
      </c>
      <c r="C147" s="5" t="s">
        <v>320</v>
      </c>
      <c r="D147" s="5" t="s">
        <v>390</v>
      </c>
      <c r="E147" s="5" t="s">
        <v>70</v>
      </c>
      <c r="F147" s="5" t="s">
        <v>49</v>
      </c>
      <c r="G147" s="5"/>
      <c r="H147" s="6">
        <v>66000</v>
      </c>
    </row>
    <row r="148" spans="2:8" x14ac:dyDescent="0.35">
      <c r="B148" s="4" t="str">
        <f>IFERROR(_xlfn.TEXTJOIN("_",TRUE,Price_tbl[[#This Row],[Category]],Price_tbl[[#This Row],[Sub_category]],Price_tbl[[#This Row],[Size]],Price_tbl[[#This Row],[Unit]],Price_tbl[[#This Row],[Color]]),"")</f>
        <v>Cushion_Supersoft_0.5"_Piece</v>
      </c>
      <c r="C148" s="5" t="s">
        <v>320</v>
      </c>
      <c r="D148" s="5" t="s">
        <v>391</v>
      </c>
      <c r="E148" s="5" t="s">
        <v>257</v>
      </c>
      <c r="F148" s="5" t="s">
        <v>49</v>
      </c>
      <c r="G148" s="5"/>
      <c r="H148" s="6"/>
    </row>
    <row r="149" spans="2:8" x14ac:dyDescent="0.35">
      <c r="B149" s="4" t="str">
        <f>IFERROR(_xlfn.TEXTJOIN("_",TRUE,Price_tbl[[#This Row],[Category]],Price_tbl[[#This Row],[Sub_category]],Price_tbl[[#This Row],[Size]],Price_tbl[[#This Row],[Unit]],Price_tbl[[#This Row],[Color]]),"")</f>
        <v>Cushion_Supersoft_1"_Piece</v>
      </c>
      <c r="C149" s="5" t="s">
        <v>320</v>
      </c>
      <c r="D149" s="5" t="s">
        <v>391</v>
      </c>
      <c r="E149" s="5" t="s">
        <v>264</v>
      </c>
      <c r="F149" s="5" t="s">
        <v>49</v>
      </c>
      <c r="G149" s="5"/>
      <c r="H149" s="6"/>
    </row>
    <row r="150" spans="2:8" x14ac:dyDescent="0.35">
      <c r="B150" s="4" t="str">
        <f>IFERROR(_xlfn.TEXTJOIN("_",TRUE,Price_tbl[[#This Row],[Category]],Price_tbl[[#This Row],[Sub_category]],Price_tbl[[#This Row],[Size]],Price_tbl[[#This Row],[Unit]],Price_tbl[[#This Row],[Color]]),"")</f>
        <v>Cushion_Supersoft_1.5"_Piece</v>
      </c>
      <c r="C150" s="5" t="s">
        <v>320</v>
      </c>
      <c r="D150" s="5" t="s">
        <v>391</v>
      </c>
      <c r="E150" s="5" t="s">
        <v>270</v>
      </c>
      <c r="F150" s="5" t="s">
        <v>49</v>
      </c>
      <c r="G150" s="5"/>
      <c r="H150" s="6"/>
    </row>
    <row r="151" spans="2:8" x14ac:dyDescent="0.35">
      <c r="B151" s="4" t="str">
        <f>IFERROR(_xlfn.TEXTJOIN("_",TRUE,Price_tbl[[#This Row],[Category]],Price_tbl[[#This Row],[Sub_category]],Price_tbl[[#This Row],[Size]],Price_tbl[[#This Row],[Unit]],Price_tbl[[#This Row],[Color]]),"")</f>
        <v>Cushion_Supersoft_2"_Piece</v>
      </c>
      <c r="C151" s="5" t="s">
        <v>320</v>
      </c>
      <c r="D151" s="5" t="s">
        <v>391</v>
      </c>
      <c r="E151" s="5" t="s">
        <v>275</v>
      </c>
      <c r="F151" s="5" t="s">
        <v>49</v>
      </c>
      <c r="G151" s="5"/>
      <c r="H151" s="6"/>
    </row>
    <row r="152" spans="2:8" x14ac:dyDescent="0.35">
      <c r="B152" s="4" t="str">
        <f>IFERROR(_xlfn.TEXTJOIN("_",TRUE,Price_tbl[[#This Row],[Category]],Price_tbl[[#This Row],[Sub_category]],Price_tbl[[#This Row],[Size]],Price_tbl[[#This Row],[Unit]],Price_tbl[[#This Row],[Color]]),"")</f>
        <v>Cushion_Supersoft_2.5"_Piece</v>
      </c>
      <c r="C152" s="5" t="s">
        <v>320</v>
      </c>
      <c r="D152" s="5" t="s">
        <v>391</v>
      </c>
      <c r="E152" s="5" t="s">
        <v>280</v>
      </c>
      <c r="F152" s="5" t="s">
        <v>49</v>
      </c>
      <c r="G152" s="5"/>
      <c r="H152" s="6"/>
    </row>
    <row r="153" spans="2:8" x14ac:dyDescent="0.35">
      <c r="B153" s="4" t="str">
        <f>IFERROR(_xlfn.TEXTJOIN("_",TRUE,Price_tbl[[#This Row],[Category]],Price_tbl[[#This Row],[Sub_category]],Price_tbl[[#This Row],[Size]],Price_tbl[[#This Row],[Unit]],Price_tbl[[#This Row],[Color]]),"")</f>
        <v>Cushion_Supersoft_3"_Piece</v>
      </c>
      <c r="C153" s="5" t="s">
        <v>320</v>
      </c>
      <c r="D153" s="5" t="s">
        <v>391</v>
      </c>
      <c r="E153" s="5" t="s">
        <v>303</v>
      </c>
      <c r="F153" s="5" t="s">
        <v>49</v>
      </c>
      <c r="G153" s="5"/>
      <c r="H153" s="6"/>
    </row>
    <row r="154" spans="2:8" x14ac:dyDescent="0.35">
      <c r="B154" s="4" t="str">
        <f>IFERROR(_xlfn.TEXTJOIN("_",TRUE,Price_tbl[[#This Row],[Category]],Price_tbl[[#This Row],[Sub_category]],Price_tbl[[#This Row],[Size]],Price_tbl[[#This Row],[Unit]],Price_tbl[[#This Row],[Color]]),"")</f>
        <v>Cushion_Supersoft_3.5"_Piece</v>
      </c>
      <c r="C154" s="5" t="s">
        <v>320</v>
      </c>
      <c r="D154" s="5" t="s">
        <v>391</v>
      </c>
      <c r="E154" s="5" t="s">
        <v>386</v>
      </c>
      <c r="F154" s="5" t="s">
        <v>49</v>
      </c>
      <c r="G154" s="5"/>
      <c r="H154" s="6"/>
    </row>
    <row r="155" spans="2:8" x14ac:dyDescent="0.35">
      <c r="B155" s="4" t="str">
        <f>IFERROR(_xlfn.TEXTJOIN("_",TRUE,Price_tbl[[#This Row],[Category]],Price_tbl[[#This Row],[Sub_category]],Price_tbl[[#This Row],[Size]],Price_tbl[[#This Row],[Unit]],Price_tbl[[#This Row],[Color]]),"")</f>
        <v>Cushion_Supersoft_4"_Piece</v>
      </c>
      <c r="C155" s="5" t="s">
        <v>320</v>
      </c>
      <c r="D155" s="5" t="s">
        <v>391</v>
      </c>
      <c r="E155" s="5" t="s">
        <v>360</v>
      </c>
      <c r="F155" s="5" t="s">
        <v>49</v>
      </c>
      <c r="G155" s="5"/>
      <c r="H155" s="6"/>
    </row>
    <row r="156" spans="2:8" x14ac:dyDescent="0.35">
      <c r="B156" s="4" t="str">
        <f>IFERROR(_xlfn.TEXTJOIN("_",TRUE,Price_tbl[[#This Row],[Category]],Price_tbl[[#This Row],[Sub_category]],Price_tbl[[#This Row],[Size]],Price_tbl[[#This Row],[Unit]],Price_tbl[[#This Row],[Color]]),"")</f>
        <v>Cushion_Supersoft_4.5"_Piece</v>
      </c>
      <c r="C156" s="5" t="s">
        <v>320</v>
      </c>
      <c r="D156" s="5" t="s">
        <v>391</v>
      </c>
      <c r="E156" s="5" t="s">
        <v>387</v>
      </c>
      <c r="F156" s="5" t="s">
        <v>49</v>
      </c>
      <c r="G156" s="5"/>
      <c r="H156" s="6"/>
    </row>
    <row r="157" spans="2:8" x14ac:dyDescent="0.35">
      <c r="B157" s="4" t="str">
        <f>IFERROR(_xlfn.TEXTJOIN("_",TRUE,Price_tbl[[#This Row],[Category]],Price_tbl[[#This Row],[Sub_category]],Price_tbl[[#This Row],[Size]],Price_tbl[[#This Row],[Unit]],Price_tbl[[#This Row],[Color]]),"")</f>
        <v>Cushion_Supersoft_5"_Piece</v>
      </c>
      <c r="C157" s="5" t="s">
        <v>320</v>
      </c>
      <c r="D157" s="5" t="s">
        <v>391</v>
      </c>
      <c r="E157" s="5" t="s">
        <v>361</v>
      </c>
      <c r="F157" s="5" t="s">
        <v>49</v>
      </c>
      <c r="G157" s="5"/>
      <c r="H157" s="6"/>
    </row>
    <row r="158" spans="2:8" x14ac:dyDescent="0.35">
      <c r="B158" s="4" t="str">
        <f>IFERROR(_xlfn.TEXTJOIN("_",TRUE,Price_tbl[[#This Row],[Category]],Price_tbl[[#This Row],[Sub_category]],Price_tbl[[#This Row],[Size]],Price_tbl[[#This Row],[Unit]],Price_tbl[[#This Row],[Color]]),"")</f>
        <v>Cushion_Supersoft_5.5"_Piece</v>
      </c>
      <c r="C158" s="5" t="s">
        <v>320</v>
      </c>
      <c r="D158" s="5" t="s">
        <v>391</v>
      </c>
      <c r="E158" s="5" t="s">
        <v>388</v>
      </c>
      <c r="F158" s="5" t="s">
        <v>49</v>
      </c>
      <c r="G158" s="5"/>
      <c r="H158" s="6"/>
    </row>
    <row r="159" spans="2:8" x14ac:dyDescent="0.35">
      <c r="B159" s="4" t="str">
        <f>IFERROR(_xlfn.TEXTJOIN("_",TRUE,Price_tbl[[#This Row],[Category]],Price_tbl[[#This Row],[Sub_category]],Price_tbl[[#This Row],[Size]],Price_tbl[[#This Row],[Unit]],Price_tbl[[#This Row],[Color]]),"")</f>
        <v>Cushion_Supersoft_6"_Piece</v>
      </c>
      <c r="C159" s="5" t="s">
        <v>320</v>
      </c>
      <c r="D159" s="5" t="s">
        <v>391</v>
      </c>
      <c r="E159" s="5" t="s">
        <v>70</v>
      </c>
      <c r="F159" s="5" t="s">
        <v>49</v>
      </c>
      <c r="G159" s="5"/>
      <c r="H159" s="6"/>
    </row>
    <row r="160" spans="2:8" x14ac:dyDescent="0.35">
      <c r="B160" s="4" t="str">
        <f>IFERROR(_xlfn.TEXTJOIN("_",TRUE,Price_tbl[[#This Row],[Category]],Price_tbl[[#This Row],[Sub_category]],Price_tbl[[#This Row],[Size]],Price_tbl[[#This Row],[Unit]],Price_tbl[[#This Row],[Color]]),"")</f>
        <v>Angle_bracket_Aluminium_8"_Piece</v>
      </c>
      <c r="C160" s="5" t="s">
        <v>11</v>
      </c>
      <c r="D160" s="5" t="s">
        <v>392</v>
      </c>
      <c r="E160" s="5" t="s">
        <v>363</v>
      </c>
      <c r="F160" s="5" t="s">
        <v>49</v>
      </c>
      <c r="G160" s="5"/>
      <c r="H160" s="6"/>
    </row>
    <row r="161" spans="2:8" x14ac:dyDescent="0.35">
      <c r="B161" s="4" t="str">
        <f>IFERROR(_xlfn.TEXTJOIN("_",TRUE,Price_tbl[[#This Row],[Category]],Price_tbl[[#This Row],[Sub_category]],Price_tbl[[#This Row],[Size]],Price_tbl[[#This Row],[Unit]],Price_tbl[[#This Row],[Color]]),"")</f>
        <v>Angle_bracket_Iron_Pack</v>
      </c>
      <c r="C161" s="5" t="s">
        <v>11</v>
      </c>
      <c r="D161" s="5" t="s">
        <v>393</v>
      </c>
      <c r="E161" s="5"/>
      <c r="F161" s="5" t="s">
        <v>307</v>
      </c>
      <c r="G161" s="5"/>
      <c r="H161" s="6">
        <v>2500</v>
      </c>
    </row>
    <row r="162" spans="2:8" x14ac:dyDescent="0.35">
      <c r="B162" s="4" t="str">
        <f>IFERROR(_xlfn.TEXTJOIN("_",TRUE,Price_tbl[[#This Row],[Category]],Price_tbl[[#This Row],[Sub_category]],Price_tbl[[#This Row],[Size]],Price_tbl[[#This Row],[Unit]],Price_tbl[[#This Row],[Color]]),"")</f>
        <v>Angle_bracket_Plastic_Pack</v>
      </c>
      <c r="C162" s="5" t="s">
        <v>11</v>
      </c>
      <c r="D162" s="5" t="s">
        <v>394</v>
      </c>
      <c r="E162" s="5"/>
      <c r="F162" s="5" t="s">
        <v>307</v>
      </c>
      <c r="G162" s="5"/>
      <c r="H162" s="6"/>
    </row>
    <row r="163" spans="2:8" x14ac:dyDescent="0.35">
      <c r="B163" s="4" t="str">
        <f>IFERROR(_xlfn.TEXTJOIN("_",TRUE,Price_tbl[[#This Row],[Category]],Price_tbl[[#This Row],[Sub_category]],Price_tbl[[#This Row],[Size]],Price_tbl[[#This Row],[Unit]],Price_tbl[[#This Row],[Color]]),"")</f>
        <v>Board_Particle_0.25"_Piece</v>
      </c>
      <c r="C163" s="5" t="s">
        <v>0</v>
      </c>
      <c r="D163" s="5" t="s">
        <v>395</v>
      </c>
      <c r="E163" s="5" t="s">
        <v>306</v>
      </c>
      <c r="F163" s="5" t="s">
        <v>49</v>
      </c>
      <c r="G163" s="5"/>
      <c r="H163" s="6"/>
    </row>
    <row r="164" spans="2:8" x14ac:dyDescent="0.35">
      <c r="B164" s="4" t="str">
        <f>IFERROR(_xlfn.TEXTJOIN("_",TRUE,Price_tbl[[#This Row],[Category]],Price_tbl[[#This Row],[Sub_category]],Price_tbl[[#This Row],[Size]],Price_tbl[[#This Row],[Unit]],Price_tbl[[#This Row],[Color]]),"")</f>
        <v>Board_Particle_0.5"_Piece</v>
      </c>
      <c r="C164" s="5" t="s">
        <v>0</v>
      </c>
      <c r="D164" s="5" t="s">
        <v>395</v>
      </c>
      <c r="E164" s="5" t="s">
        <v>257</v>
      </c>
      <c r="F164" s="5" t="s">
        <v>49</v>
      </c>
      <c r="G164" s="5"/>
      <c r="H164" s="6"/>
    </row>
    <row r="165" spans="2:8" x14ac:dyDescent="0.35">
      <c r="B165" s="4" t="str">
        <f>IFERROR(_xlfn.TEXTJOIN("_",TRUE,Price_tbl[[#This Row],[Category]],Price_tbl[[#This Row],[Sub_category]],Price_tbl[[#This Row],[Size]],Price_tbl[[#This Row],[Unit]],Price_tbl[[#This Row],[Color]]),"")</f>
        <v>Board_Particle_0.75"_Piece</v>
      </c>
      <c r="C165" s="5" t="s">
        <v>0</v>
      </c>
      <c r="D165" s="5" t="s">
        <v>395</v>
      </c>
      <c r="E165" s="5" t="s">
        <v>313</v>
      </c>
      <c r="F165" s="5" t="s">
        <v>49</v>
      </c>
      <c r="G165" s="5"/>
      <c r="H165" s="6"/>
    </row>
    <row r="166" spans="2:8" x14ac:dyDescent="0.35">
      <c r="B166" s="4" t="str">
        <f>IFERROR(_xlfn.TEXTJOIN("_",TRUE,Price_tbl[[#This Row],[Category]],Price_tbl[[#This Row],[Sub_category]],Price_tbl[[#This Row],[Size]],Price_tbl[[#This Row],[Unit]],Price_tbl[[#This Row],[Color]]),"")</f>
        <v>Board_Particle_1"_Piece</v>
      </c>
      <c r="C166" s="5" t="s">
        <v>0</v>
      </c>
      <c r="D166" s="5" t="s">
        <v>395</v>
      </c>
      <c r="E166" s="5" t="s">
        <v>264</v>
      </c>
      <c r="F166" s="5" t="s">
        <v>49</v>
      </c>
      <c r="G166" s="5"/>
      <c r="H166" s="6"/>
    </row>
    <row r="167" spans="2:8" x14ac:dyDescent="0.35">
      <c r="B167" s="4" t="str">
        <f>IFERROR(_xlfn.TEXTJOIN("_",TRUE,Price_tbl[[#This Row],[Category]],Price_tbl[[#This Row],[Sub_category]],Price_tbl[[#This Row],[Size]],Price_tbl[[#This Row],[Unit]],Price_tbl[[#This Row],[Color]]),"")</f>
        <v>Board_Nigerian Plywood_0.25"_Piece</v>
      </c>
      <c r="C167" s="5" t="s">
        <v>0</v>
      </c>
      <c r="D167" s="5" t="s">
        <v>396</v>
      </c>
      <c r="E167" s="5" t="s">
        <v>306</v>
      </c>
      <c r="F167" s="5" t="s">
        <v>49</v>
      </c>
      <c r="G167" s="5"/>
      <c r="H167" s="6"/>
    </row>
    <row r="168" spans="2:8" x14ac:dyDescent="0.35">
      <c r="B168" s="4" t="str">
        <f>IFERROR(_xlfn.TEXTJOIN("_",TRUE,Price_tbl[[#This Row],[Category]],Price_tbl[[#This Row],[Sub_category]],Price_tbl[[#This Row],[Size]],Price_tbl[[#This Row],[Unit]],Price_tbl[[#This Row],[Color]]),"")</f>
        <v>Board_Nigerian Plywood_0.5"_Piece</v>
      </c>
      <c r="C168" s="5" t="s">
        <v>0</v>
      </c>
      <c r="D168" s="5" t="s">
        <v>396</v>
      </c>
      <c r="E168" s="5" t="s">
        <v>257</v>
      </c>
      <c r="F168" s="5" t="s">
        <v>49</v>
      </c>
      <c r="G168" s="5"/>
      <c r="H168" s="6"/>
    </row>
    <row r="169" spans="2:8" x14ac:dyDescent="0.35">
      <c r="B169" s="4" t="str">
        <f>IFERROR(_xlfn.TEXTJOIN("_",TRUE,Price_tbl[[#This Row],[Category]],Price_tbl[[#This Row],[Sub_category]],Price_tbl[[#This Row],[Size]],Price_tbl[[#This Row],[Unit]],Price_tbl[[#This Row],[Color]]),"")</f>
        <v>Board_Nigerian Plywood_0.75"_Piece</v>
      </c>
      <c r="C169" s="5" t="s">
        <v>0</v>
      </c>
      <c r="D169" s="5" t="s">
        <v>396</v>
      </c>
      <c r="E169" s="5" t="s">
        <v>313</v>
      </c>
      <c r="F169" s="5" t="s">
        <v>49</v>
      </c>
      <c r="G169" s="5"/>
      <c r="H169" s="6"/>
    </row>
    <row r="170" spans="2:8" x14ac:dyDescent="0.35">
      <c r="B170" s="4" t="str">
        <f>IFERROR(_xlfn.TEXTJOIN("_",TRUE,Price_tbl[[#This Row],[Category]],Price_tbl[[#This Row],[Sub_category]],Price_tbl[[#This Row],[Size]],Price_tbl[[#This Row],[Unit]],Price_tbl[[#This Row],[Color]]),"")</f>
        <v>Board_Foreign Plywood_0.25"_Piece</v>
      </c>
      <c r="C170" s="5" t="s">
        <v>0</v>
      </c>
      <c r="D170" s="5" t="s">
        <v>397</v>
      </c>
      <c r="E170" s="5" t="s">
        <v>306</v>
      </c>
      <c r="F170" s="5" t="s">
        <v>49</v>
      </c>
      <c r="G170" s="5"/>
      <c r="H170" s="6">
        <v>10000</v>
      </c>
    </row>
    <row r="171" spans="2:8" x14ac:dyDescent="0.35">
      <c r="B171" s="4" t="str">
        <f>IFERROR(_xlfn.TEXTJOIN("_",TRUE,Price_tbl[[#This Row],[Category]],Price_tbl[[#This Row],[Sub_category]],Price_tbl[[#This Row],[Size]],Price_tbl[[#This Row],[Unit]],Price_tbl[[#This Row],[Color]]),"")</f>
        <v>Board_Foreign Plywood_0.5"_Piece</v>
      </c>
      <c r="C171" s="5" t="s">
        <v>0</v>
      </c>
      <c r="D171" s="5" t="s">
        <v>397</v>
      </c>
      <c r="E171" s="5" t="s">
        <v>257</v>
      </c>
      <c r="F171" s="5" t="s">
        <v>49</v>
      </c>
      <c r="G171" s="5"/>
      <c r="H171" s="6">
        <v>20000</v>
      </c>
    </row>
    <row r="172" spans="2:8" x14ac:dyDescent="0.35">
      <c r="B172" s="4" t="str">
        <f>IFERROR(_xlfn.TEXTJOIN("_",TRUE,Price_tbl[[#This Row],[Category]],Price_tbl[[#This Row],[Sub_category]],Price_tbl[[#This Row],[Size]],Price_tbl[[#This Row],[Unit]],Price_tbl[[#This Row],[Color]]),"")</f>
        <v>Board_Foreign Plywood_0.75"_Piece</v>
      </c>
      <c r="C172" s="5" t="s">
        <v>0</v>
      </c>
      <c r="D172" s="5" t="s">
        <v>397</v>
      </c>
      <c r="E172" s="5" t="s">
        <v>313</v>
      </c>
      <c r="F172" s="5" t="s">
        <v>49</v>
      </c>
      <c r="G172" s="5"/>
      <c r="H172" s="6">
        <v>31000</v>
      </c>
    </row>
    <row r="173" spans="2:8" x14ac:dyDescent="0.35">
      <c r="B173" s="4" t="str">
        <f>IFERROR(_xlfn.TEXTJOIN("_",TRUE,Price_tbl[[#This Row],[Category]],Price_tbl[[#This Row],[Sub_category]],Price_tbl[[#This Row],[Size]],Price_tbl[[#This Row],[Unit]],Price_tbl[[#This Row],[Color]]),"")</f>
        <v>Marble_Nigeria Black_Square meter</v>
      </c>
      <c r="C173" s="5" t="s">
        <v>323</v>
      </c>
      <c r="D173" s="5" t="s">
        <v>398</v>
      </c>
      <c r="E173" s="5"/>
      <c r="F173" s="5" t="s">
        <v>337</v>
      </c>
      <c r="G173" s="5"/>
      <c r="H173" s="6"/>
    </row>
    <row r="174" spans="2:8" x14ac:dyDescent="0.35">
      <c r="B174" s="4" t="str">
        <f>IFERROR(_xlfn.TEXTJOIN("_",TRUE,Price_tbl[[#This Row],[Category]],Price_tbl[[#This Row],[Sub_category]],Price_tbl[[#This Row],[Size]],Price_tbl[[#This Row],[Unit]],Price_tbl[[#This Row],[Color]]),"")</f>
        <v>Marble_Black Galaxy_Square meter</v>
      </c>
      <c r="C174" s="5" t="s">
        <v>323</v>
      </c>
      <c r="D174" s="5" t="s">
        <v>399</v>
      </c>
      <c r="E174" s="5"/>
      <c r="F174" s="5" t="s">
        <v>337</v>
      </c>
      <c r="G174" s="5"/>
      <c r="H174" s="6"/>
    </row>
    <row r="175" spans="2:8" x14ac:dyDescent="0.35">
      <c r="B175" s="4" t="str">
        <f>IFERROR(_xlfn.TEXTJOIN("_",TRUE,Price_tbl[[#This Row],[Category]],Price_tbl[[#This Row],[Sub_category]],Price_tbl[[#This Row],[Size]],Price_tbl[[#This Row],[Unit]],Price_tbl[[#This Row],[Color]]),"")</f>
        <v>Marble_Red Marble_Square meter</v>
      </c>
      <c r="C175" s="5" t="s">
        <v>323</v>
      </c>
      <c r="D175" s="5" t="s">
        <v>400</v>
      </c>
      <c r="E175" s="5"/>
      <c r="F175" s="5" t="s">
        <v>337</v>
      </c>
      <c r="G175" s="5"/>
      <c r="H175" s="6"/>
    </row>
    <row r="176" spans="2:8" x14ac:dyDescent="0.35">
      <c r="B176" s="4" t="str">
        <f>IFERROR(_xlfn.TEXTJOIN("_",TRUE,Price_tbl[[#This Row],[Category]],Price_tbl[[#This Row],[Sub_category]],Price_tbl[[#This Row],[Size]],Price_tbl[[#This Row],[Unit]],Price_tbl[[#This Row],[Color]]),"")</f>
        <v>Marble_Foreign Quartz_Square meter</v>
      </c>
      <c r="C176" s="5" t="s">
        <v>323</v>
      </c>
      <c r="D176" s="5" t="s">
        <v>401</v>
      </c>
      <c r="E176" s="5"/>
      <c r="F176" s="5" t="s">
        <v>337</v>
      </c>
      <c r="G176" s="5"/>
      <c r="H176" s="6"/>
    </row>
    <row r="177" spans="2:14" x14ac:dyDescent="0.35">
      <c r="B177" s="4" t="str">
        <f>IFERROR(_xlfn.TEXTJOIN("_",TRUE,Price_tbl[[#This Row],[Category]],Price_tbl[[#This Row],[Sub_category]],Price_tbl[[#This Row],[Size]],Price_tbl[[#This Row],[Unit]],Price_tbl[[#This Row],[Color]]),"")</f>
        <v>Marble_Multired_Square meter</v>
      </c>
      <c r="C177" s="5" t="s">
        <v>323</v>
      </c>
      <c r="D177" s="5" t="s">
        <v>402</v>
      </c>
      <c r="E177" s="5"/>
      <c r="F177" s="5" t="s">
        <v>337</v>
      </c>
      <c r="G177" s="5"/>
      <c r="H177" s="6"/>
    </row>
    <row r="178" spans="2:14" x14ac:dyDescent="0.35">
      <c r="B178" s="4" t="str">
        <f>IFERROR(_xlfn.TEXTJOIN("_",TRUE,Price_tbl[[#This Row],[Category]],Price_tbl[[#This Row],[Sub_category]],Price_tbl[[#This Row],[Size]],Price_tbl[[#This Row],[Unit]],Price_tbl[[#This Row],[Color]]),"")</f>
        <v>Marble_White Cara_Square meter</v>
      </c>
      <c r="C178" s="5" t="s">
        <v>323</v>
      </c>
      <c r="D178" s="5" t="s">
        <v>403</v>
      </c>
      <c r="E178" s="5"/>
      <c r="F178" s="5" t="s">
        <v>337</v>
      </c>
      <c r="G178" s="5"/>
      <c r="H178" s="6"/>
    </row>
    <row r="179" spans="2:14" x14ac:dyDescent="0.35">
      <c r="B179" s="4" t="str">
        <f>IFERROR(_xlfn.TEXTJOIN("_",TRUE,Price_tbl[[#This Row],[Category]],Price_tbl[[#This Row],[Sub_category]],Price_tbl[[#This Row],[Size]],Price_tbl[[#This Row],[Unit]],Price_tbl[[#This Row],[Color]]),"")</f>
        <v>Marble_Paradiso_Square meter</v>
      </c>
      <c r="C179" s="5" t="s">
        <v>323</v>
      </c>
      <c r="D179" s="5" t="s">
        <v>404</v>
      </c>
      <c r="E179" s="5"/>
      <c r="F179" s="5" t="s">
        <v>337</v>
      </c>
      <c r="G179" s="5"/>
      <c r="H179" s="6"/>
    </row>
    <row r="180" spans="2:14" x14ac:dyDescent="0.35">
      <c r="B180" s="4" t="str">
        <f>IFERROR(_xlfn.TEXTJOIN("_",TRUE,Price_tbl[[#This Row],[Category]],Price_tbl[[#This Row],[Sub_category]],Price_tbl[[#This Row],[Size]],Price_tbl[[#This Row],[Unit]],Price_tbl[[#This Row],[Color]]),"")</f>
        <v>Marble_Silver Gold_Square meter</v>
      </c>
      <c r="C180" s="5" t="s">
        <v>323</v>
      </c>
      <c r="D180" s="5" t="s">
        <v>405</v>
      </c>
      <c r="E180" s="5"/>
      <c r="F180" s="5" t="s">
        <v>337</v>
      </c>
      <c r="G180" s="5"/>
      <c r="H180" s="6"/>
    </row>
    <row r="181" spans="2:14" x14ac:dyDescent="0.35">
      <c r="B181" s="4" t="str">
        <f>IFERROR(_xlfn.TEXTJOIN("_",TRUE,Price_tbl[[#This Row],[Category]],Price_tbl[[#This Row],[Sub_category]],Price_tbl[[#This Row],[Size]],Price_tbl[[#This Row],[Unit]],Price_tbl[[#This Row],[Color]]),"")</f>
        <v>Adhensive_Gum_3kg_Piece</v>
      </c>
      <c r="C181" s="5" t="s">
        <v>12</v>
      </c>
      <c r="D181" s="5" t="s">
        <v>406</v>
      </c>
      <c r="E181" s="5" t="s">
        <v>407</v>
      </c>
      <c r="F181" s="5" t="s">
        <v>49</v>
      </c>
      <c r="G181" s="5"/>
      <c r="H181" s="6">
        <v>11300</v>
      </c>
    </row>
    <row r="182" spans="2:14" x14ac:dyDescent="0.35">
      <c r="B182" s="4" t="str">
        <f>IFERROR(_xlfn.TEXTJOIN("_",TRUE,Price_tbl[[#This Row],[Category]],Price_tbl[[#This Row],[Sub_category]],Price_tbl[[#This Row],[Size]],Price_tbl[[#This Row],[Unit]],Price_tbl[[#This Row],[Color]]),"")</f>
        <v>Adhensive_Gum_15kg_Piece</v>
      </c>
      <c r="C182" s="5" t="s">
        <v>12</v>
      </c>
      <c r="D182" s="5" t="s">
        <v>406</v>
      </c>
      <c r="E182" s="5" t="s">
        <v>408</v>
      </c>
      <c r="F182" s="5" t="s">
        <v>49</v>
      </c>
      <c r="G182" s="5"/>
      <c r="H182" s="6">
        <v>52000</v>
      </c>
    </row>
    <row r="183" spans="2:14" x14ac:dyDescent="0.35">
      <c r="B183" s="4" t="str">
        <f>IFERROR(_xlfn.TEXTJOIN("_",TRUE,Price_tbl[[#This Row],[Category]],Price_tbl[[#This Row],[Sub_category]],Price_tbl[[#This Row],[Size]],Price_tbl[[#This Row],[Unit]],Price_tbl[[#This Row],[Color]]),"")</f>
        <v>Adhensive_Top Bond_Piece</v>
      </c>
      <c r="C183" s="5" t="s">
        <v>12</v>
      </c>
      <c r="D183" s="5" t="s">
        <v>409</v>
      </c>
      <c r="E183" s="5"/>
      <c r="F183" s="5" t="s">
        <v>49</v>
      </c>
      <c r="G183" s="5"/>
      <c r="H183" s="6"/>
    </row>
    <row r="184" spans="2:14" x14ac:dyDescent="0.35">
      <c r="B184" s="4" t="str">
        <f>IFERROR(_xlfn.TEXTJOIN("_",TRUE,Price_tbl[[#This Row],[Category]],Price_tbl[[#This Row],[Sub_category]],Price_tbl[[#This Row],[Size]],Price_tbl[[#This Row],[Unit]],Price_tbl[[#This Row],[Color]]),"")</f>
        <v>Adhensive_China glue_Piece</v>
      </c>
      <c r="C184" s="5" t="s">
        <v>12</v>
      </c>
      <c r="D184" s="5" t="s">
        <v>410</v>
      </c>
      <c r="E184" s="5"/>
      <c r="F184" s="5" t="s">
        <v>49</v>
      </c>
      <c r="G184" s="5"/>
      <c r="H184" s="6"/>
    </row>
    <row r="185" spans="2:14" x14ac:dyDescent="0.35">
      <c r="B185" s="4" t="str">
        <f>IFERROR(_xlfn.TEXTJOIN("_",TRUE,Price_tbl[[#This Row],[Category]],Price_tbl[[#This Row],[Sub_category]],Price_tbl[[#This Row],[Size]],Price_tbl[[#This Row],[Unit]],Price_tbl[[#This Row],[Color]]),"")</f>
        <v>Adhensive_Silicon_Piece</v>
      </c>
      <c r="C185" s="5" t="s">
        <v>12</v>
      </c>
      <c r="D185" s="5" t="s">
        <v>411</v>
      </c>
      <c r="E185" s="5"/>
      <c r="F185" s="5" t="s">
        <v>49</v>
      </c>
      <c r="G185" s="5"/>
      <c r="H185" s="6"/>
    </row>
    <row r="186" spans="2:14" x14ac:dyDescent="0.35">
      <c r="B186" s="4" t="str">
        <f>IFERROR(_xlfn.TEXTJOIN("_",TRUE,Price_tbl[[#This Row],[Category]],Price_tbl[[#This Row],[Sub_category]],Price_tbl[[#This Row],[Size]],Price_tbl[[#This Row],[Unit]],Price_tbl[[#This Row],[Color]]),"")</f>
        <v>Board_Rock Panel_Piece</v>
      </c>
      <c r="C186" s="5" t="s">
        <v>0</v>
      </c>
      <c r="D186" s="5" t="s">
        <v>412</v>
      </c>
      <c r="E186" s="5"/>
      <c r="F186" s="5" t="s">
        <v>49</v>
      </c>
      <c r="G186" s="5"/>
      <c r="H186" s="6"/>
    </row>
    <row r="187" spans="2:14" x14ac:dyDescent="0.35">
      <c r="B187" s="4" t="str">
        <f>IFERROR(_xlfn.TEXTJOIN("_",TRUE,Price_tbl[[#This Row],[Category]],Price_tbl[[#This Row],[Sub_category]],Price_tbl[[#This Row],[Size]],Price_tbl[[#This Row],[Unit]],Price_tbl[[#This Row],[Color]]),"")</f>
        <v>Cushion_Fiber sheet_Square meter</v>
      </c>
      <c r="C187" s="5" t="s">
        <v>320</v>
      </c>
      <c r="D187" s="5" t="s">
        <v>413</v>
      </c>
      <c r="E187" s="5"/>
      <c r="F187" s="5" t="s">
        <v>337</v>
      </c>
      <c r="G187" s="5"/>
      <c r="H187" s="6"/>
      <c r="N187" t="s">
        <v>357</v>
      </c>
    </row>
    <row r="188" spans="2:14" x14ac:dyDescent="0.35">
      <c r="B188" s="4" t="str">
        <f>IFERROR(_xlfn.TEXTJOIN("_",TRUE,Price_tbl[[#This Row],[Category]],Price_tbl[[#This Row],[Sub_category]],Price_tbl[[#This Row],[Size]],Price_tbl[[#This Row],[Unit]],Price_tbl[[#This Row],[Color]]),"")</f>
        <v>Nail_Tornado_1"_Pack</v>
      </c>
      <c r="C188" s="5" t="s">
        <v>6</v>
      </c>
      <c r="D188" s="5" t="s">
        <v>414</v>
      </c>
      <c r="E188" s="5" t="s">
        <v>264</v>
      </c>
      <c r="F188" s="5" t="s">
        <v>307</v>
      </c>
      <c r="G188" s="5"/>
      <c r="H188" s="6">
        <v>500</v>
      </c>
    </row>
    <row r="189" spans="2:14" x14ac:dyDescent="0.35">
      <c r="B189" s="4" t="str">
        <f>IFERROR(_xlfn.TEXTJOIN("_",TRUE,Price_tbl[[#This Row],[Category]],Price_tbl[[#This Row],[Sub_category]],Price_tbl[[#This Row],[Size]],Price_tbl[[#This Row],[Unit]],Price_tbl[[#This Row],[Color]]),"")</f>
        <v>Nail_Tornado_2"_Pack</v>
      </c>
      <c r="C189" s="5" t="s">
        <v>6</v>
      </c>
      <c r="D189" s="5" t="s">
        <v>414</v>
      </c>
      <c r="E189" s="5" t="s">
        <v>275</v>
      </c>
      <c r="F189" s="5" t="s">
        <v>307</v>
      </c>
      <c r="G189" s="5"/>
      <c r="H189" s="6">
        <v>800</v>
      </c>
    </row>
    <row r="190" spans="2:14" x14ac:dyDescent="0.35">
      <c r="B190" s="4" t="str">
        <f>IFERROR(_xlfn.TEXTJOIN("_",TRUE,Price_tbl[[#This Row],[Category]],Price_tbl[[#This Row],[Sub_category]],Price_tbl[[#This Row],[Size]],Price_tbl[[#This Row],[Unit]],Price_tbl[[#This Row],[Color]]),"")</f>
        <v>Nail_Tornado_3"_Pack</v>
      </c>
      <c r="C190" s="5" t="s">
        <v>6</v>
      </c>
      <c r="D190" s="5" t="s">
        <v>414</v>
      </c>
      <c r="E190" s="5" t="s">
        <v>303</v>
      </c>
      <c r="F190" s="5" t="s">
        <v>307</v>
      </c>
      <c r="G190" s="5"/>
      <c r="H190" s="6">
        <v>1000</v>
      </c>
    </row>
    <row r="191" spans="2:14" x14ac:dyDescent="0.35">
      <c r="B191" s="4" t="str">
        <f>IFERROR(_xlfn.TEXTJOIN("_",TRUE,Price_tbl[[#This Row],[Category]],Price_tbl[[#This Row],[Sub_category]],Price_tbl[[#This Row],[Size]],Price_tbl[[#This Row],[Unit]],Price_tbl[[#This Row],[Color]]),"")</f>
        <v>Nail_Tornado_4"_Pack</v>
      </c>
      <c r="C191" s="5" t="s">
        <v>6</v>
      </c>
      <c r="D191" s="5" t="s">
        <v>414</v>
      </c>
      <c r="E191" s="5" t="s">
        <v>360</v>
      </c>
      <c r="F191" s="5" t="s">
        <v>307</v>
      </c>
      <c r="G191" s="5"/>
      <c r="H191" s="6"/>
    </row>
    <row r="192" spans="2:14" x14ac:dyDescent="0.35">
      <c r="B192" s="4" t="str">
        <f>IFERROR(_xlfn.TEXTJOIN("_",TRUE,Price_tbl[[#This Row],[Category]],Price_tbl[[#This Row],[Sub_category]],Price_tbl[[#This Row],[Size]],Price_tbl[[#This Row],[Unit]],Price_tbl[[#This Row],[Color]]),"")</f>
        <v>Nail_Tornado_5"_Pack</v>
      </c>
      <c r="C192" s="5" t="s">
        <v>6</v>
      </c>
      <c r="D192" s="5" t="s">
        <v>414</v>
      </c>
      <c r="E192" s="5" t="s">
        <v>361</v>
      </c>
      <c r="F192" s="5" t="s">
        <v>307</v>
      </c>
      <c r="G192" s="5"/>
      <c r="H192" s="6"/>
    </row>
    <row r="193" spans="2:8" x14ac:dyDescent="0.35">
      <c r="B193" s="4" t="str">
        <f>IFERROR(_xlfn.TEXTJOIN("_",TRUE,Price_tbl[[#This Row],[Category]],Price_tbl[[#This Row],[Sub_category]],Price_tbl[[#This Row],[Size]],Price_tbl[[#This Row],[Unit]],Price_tbl[[#This Row],[Color]]),"")</f>
        <v>Nail_Tornado_1"_Pack</v>
      </c>
      <c r="C193" s="5" t="s">
        <v>6</v>
      </c>
      <c r="D193" s="5" t="s">
        <v>414</v>
      </c>
      <c r="E193" s="5" t="s">
        <v>264</v>
      </c>
      <c r="F193" s="5" t="s">
        <v>307</v>
      </c>
      <c r="G193" s="5"/>
      <c r="H193" s="6"/>
    </row>
    <row r="194" spans="2:8" x14ac:dyDescent="0.35">
      <c r="B194" s="4" t="str">
        <f>IFERROR(_xlfn.TEXTJOIN("_",TRUE,Price_tbl[[#This Row],[Category]],Price_tbl[[#This Row],[Sub_category]],Price_tbl[[#This Row],[Size]],Price_tbl[[#This Row],[Unit]],Price_tbl[[#This Row],[Color]]),"")</f>
        <v>Nail_Tornado_2"_Pack</v>
      </c>
      <c r="C194" s="5" t="s">
        <v>6</v>
      </c>
      <c r="D194" s="5" t="s">
        <v>414</v>
      </c>
      <c r="E194" s="5" t="s">
        <v>275</v>
      </c>
      <c r="F194" s="5" t="s">
        <v>307</v>
      </c>
      <c r="G194" s="5"/>
      <c r="H194" s="6"/>
    </row>
    <row r="195" spans="2:8" x14ac:dyDescent="0.35">
      <c r="B195" s="4" t="str">
        <f>IFERROR(_xlfn.TEXTJOIN("_",TRUE,Price_tbl[[#This Row],[Category]],Price_tbl[[#This Row],[Sub_category]],Price_tbl[[#This Row],[Size]],Price_tbl[[#This Row],[Unit]],Price_tbl[[#This Row],[Color]]),"")</f>
        <v>Nail_Tornado_3"_Pack</v>
      </c>
      <c r="C195" s="5" t="s">
        <v>6</v>
      </c>
      <c r="D195" s="5" t="s">
        <v>414</v>
      </c>
      <c r="E195" s="5" t="s">
        <v>303</v>
      </c>
      <c r="F195" s="5" t="s">
        <v>307</v>
      </c>
      <c r="G195" s="5"/>
      <c r="H195" s="6"/>
    </row>
    <row r="196" spans="2:8" x14ac:dyDescent="0.35">
      <c r="B196" s="4" t="str">
        <f>IFERROR(_xlfn.TEXTJOIN("_",TRUE,Price_tbl[[#This Row],[Category]],Price_tbl[[#This Row],[Sub_category]],Price_tbl[[#This Row],[Size]],Price_tbl[[#This Row],[Unit]],Price_tbl[[#This Row],[Color]]),"")</f>
        <v>Nail_Tornado_4"_Pack</v>
      </c>
      <c r="C196" s="5" t="s">
        <v>6</v>
      </c>
      <c r="D196" s="5" t="s">
        <v>414</v>
      </c>
      <c r="E196" s="5" t="s">
        <v>360</v>
      </c>
      <c r="F196" s="5" t="s">
        <v>307</v>
      </c>
      <c r="G196" s="5"/>
      <c r="H196" s="6">
        <v>1500</v>
      </c>
    </row>
    <row r="197" spans="2:8" x14ac:dyDescent="0.35">
      <c r="B197" s="4" t="str">
        <f>IFERROR(_xlfn.TEXTJOIN("_",TRUE,Price_tbl[[#This Row],[Category]],Price_tbl[[#This Row],[Sub_category]],Price_tbl[[#This Row],[Size]],Price_tbl[[#This Row],[Unit]],Price_tbl[[#This Row],[Color]]),"")</f>
        <v>Nail_Tornado_5"_Pack</v>
      </c>
      <c r="C197" s="5" t="s">
        <v>6</v>
      </c>
      <c r="D197" s="5" t="s">
        <v>414</v>
      </c>
      <c r="E197" s="5" t="s">
        <v>361</v>
      </c>
      <c r="F197" s="5" t="s">
        <v>307</v>
      </c>
      <c r="G197" s="5"/>
      <c r="H197" s="6"/>
    </row>
    <row r="198" spans="2:8" x14ac:dyDescent="0.35">
      <c r="B198" s="4" t="str">
        <f>IFERROR(_xlfn.TEXTJOIN("_",TRUE,Price_tbl[[#This Row],[Category]],Price_tbl[[#This Row],[Sub_category]],Price_tbl[[#This Row],[Size]],Price_tbl[[#This Row],[Unit]],Price_tbl[[#This Row],[Color]]),"")</f>
        <v>Door_Hinges_Pair_Gold</v>
      </c>
      <c r="C198" s="5" t="s">
        <v>171</v>
      </c>
      <c r="D198" s="5"/>
      <c r="E198" s="5"/>
      <c r="F198" s="5" t="s">
        <v>109</v>
      </c>
      <c r="G198" s="5" t="s">
        <v>71</v>
      </c>
      <c r="H198" s="6"/>
    </row>
    <row r="199" spans="2:8" x14ac:dyDescent="0.35">
      <c r="B199" s="4" t="str">
        <f>IFERROR(_xlfn.TEXTJOIN("_",TRUE,Price_tbl[[#This Row],[Category]],Price_tbl[[#This Row],[Sub_category]],Price_tbl[[#This Row],[Size]],Price_tbl[[#This Row],[Unit]],Price_tbl[[#This Row],[Color]]),"")</f>
        <v>Door_Hinges_Pair_Black</v>
      </c>
      <c r="C199" s="5" t="s">
        <v>171</v>
      </c>
      <c r="D199" s="5"/>
      <c r="E199" s="5"/>
      <c r="F199" s="5" t="s">
        <v>109</v>
      </c>
      <c r="G199" s="5" t="s">
        <v>225</v>
      </c>
      <c r="H199" s="6"/>
    </row>
    <row r="200" spans="2:8" x14ac:dyDescent="0.35">
      <c r="B200" s="4" t="str">
        <f>IFERROR(_xlfn.TEXTJOIN("_",TRUE,Price_tbl[[#This Row],[Category]],Price_tbl[[#This Row],[Sub_category]],Price_tbl[[#This Row],[Size]],Price_tbl[[#This Row],[Unit]],Price_tbl[[#This Row],[Color]]),"")</f>
        <v>Pin_Panel_1"_Pack</v>
      </c>
      <c r="C200" s="5" t="s">
        <v>13</v>
      </c>
      <c r="D200" s="5" t="s">
        <v>415</v>
      </c>
      <c r="E200" s="5" t="s">
        <v>264</v>
      </c>
      <c r="F200" s="5" t="s">
        <v>307</v>
      </c>
      <c r="G200" s="5"/>
      <c r="H200" s="6">
        <v>1200</v>
      </c>
    </row>
    <row r="201" spans="2:8" x14ac:dyDescent="0.35">
      <c r="B201" s="4" t="str">
        <f>IFERROR(_xlfn.TEXTJOIN("_",TRUE,Price_tbl[[#This Row],[Category]],Price_tbl[[#This Row],[Sub_category]],Price_tbl[[#This Row],[Size]],Price_tbl[[#This Row],[Unit]],Price_tbl[[#This Row],[Color]]),"")</f>
        <v>Pin_Panel_2"_Pack</v>
      </c>
      <c r="C201" s="5" t="s">
        <v>13</v>
      </c>
      <c r="D201" s="5" t="s">
        <v>415</v>
      </c>
      <c r="E201" s="5" t="s">
        <v>275</v>
      </c>
      <c r="F201" s="5" t="s">
        <v>307</v>
      </c>
      <c r="G201" s="5"/>
      <c r="H201" s="6">
        <v>1200</v>
      </c>
    </row>
    <row r="202" spans="2:8" x14ac:dyDescent="0.35">
      <c r="B202" s="4" t="str">
        <f>IFERROR(_xlfn.TEXTJOIN("_",TRUE,Price_tbl[[#This Row],[Category]],Price_tbl[[#This Row],[Sub_category]],Price_tbl[[#This Row],[Size]],Price_tbl[[#This Row],[Unit]],Price_tbl[[#This Row],[Color]]),"")</f>
        <v>Pin_Panel_3"_Pack</v>
      </c>
      <c r="C202" s="5" t="s">
        <v>13</v>
      </c>
      <c r="D202" s="5" t="s">
        <v>415</v>
      </c>
      <c r="E202" s="5" t="s">
        <v>303</v>
      </c>
      <c r="F202" s="5" t="s">
        <v>307</v>
      </c>
      <c r="G202" s="5"/>
      <c r="H202" s="6">
        <v>1200</v>
      </c>
    </row>
    <row r="203" spans="2:8" x14ac:dyDescent="0.35">
      <c r="B203" s="4" t="str">
        <f>IFERROR(_xlfn.TEXTJOIN("_",TRUE,Price_tbl[[#This Row],[Category]],Price_tbl[[#This Row],[Sub_category]],Price_tbl[[#This Row],[Size]],Price_tbl[[#This Row],[Unit]],Price_tbl[[#This Row],[Color]]),"")</f>
        <v>Lightening_Dotted strip_Yard_Warm white</v>
      </c>
      <c r="C203" s="5" t="s">
        <v>14</v>
      </c>
      <c r="D203" s="5" t="s">
        <v>416</v>
      </c>
      <c r="E203" s="5"/>
      <c r="F203" s="5" t="s">
        <v>214</v>
      </c>
      <c r="G203" s="5" t="s">
        <v>417</v>
      </c>
      <c r="H203" s="6"/>
    </row>
    <row r="204" spans="2:8" x14ac:dyDescent="0.35">
      <c r="B204" s="4" t="str">
        <f>IFERROR(_xlfn.TEXTJOIN("_",TRUE,Price_tbl[[#This Row],[Category]],Price_tbl[[#This Row],[Sub_category]],Price_tbl[[#This Row],[Size]],Price_tbl[[#This Row],[Unit]],Price_tbl[[#This Row],[Color]]),"")</f>
        <v>Lightening_Choke_Piece</v>
      </c>
      <c r="C204" s="5" t="s">
        <v>14</v>
      </c>
      <c r="D204" s="5" t="s">
        <v>418</v>
      </c>
      <c r="E204" s="5"/>
      <c r="F204" s="5" t="s">
        <v>49</v>
      </c>
      <c r="G204" s="5"/>
      <c r="H204" s="6"/>
    </row>
    <row r="205" spans="2:8" x14ac:dyDescent="0.35">
      <c r="B205" s="4" t="str">
        <f>IFERROR(_xlfn.TEXTJOIN("_",TRUE,Price_tbl[[#This Row],[Category]],Price_tbl[[#This Row],[Sub_category]],Price_tbl[[#This Row],[Size]],Price_tbl[[#This Row],[Unit]],Price_tbl[[#This Row],[Color]]),"")</f>
        <v>Lightening_Dotted strip_Roll</v>
      </c>
      <c r="C205" s="5" t="s">
        <v>14</v>
      </c>
      <c r="D205" s="5" t="s">
        <v>416</v>
      </c>
      <c r="E205" s="5"/>
      <c r="F205" s="5" t="s">
        <v>419</v>
      </c>
      <c r="G205" s="5"/>
      <c r="H205" s="6"/>
    </row>
    <row r="206" spans="2:8" x14ac:dyDescent="0.35">
      <c r="B206" s="4" t="str">
        <f>IFERROR(_xlfn.TEXTJOIN("_",TRUE,Price_tbl[[#This Row],[Category]],Price_tbl[[#This Row],[Sub_category]],Price_tbl[[#This Row],[Size]],Price_tbl[[#This Row],[Unit]],Price_tbl[[#This Row],[Color]]),"")</f>
        <v>Lightening_Running _Pack</v>
      </c>
      <c r="C206" s="5" t="s">
        <v>14</v>
      </c>
      <c r="D206" s="5" t="s">
        <v>420</v>
      </c>
      <c r="E206" s="5"/>
      <c r="F206" s="5" t="s">
        <v>307</v>
      </c>
      <c r="G206" s="5"/>
      <c r="H206" s="6"/>
    </row>
    <row r="207" spans="2:8" x14ac:dyDescent="0.35">
      <c r="B207" s="4" t="str">
        <f>IFERROR(_xlfn.TEXTJOIN("_",TRUE,Price_tbl[[#This Row],[Category]],Price_tbl[[#This Row],[Sub_category]],Price_tbl[[#This Row],[Size]],Price_tbl[[#This Row],[Unit]],Price_tbl[[#This Row],[Color]]),"")</f>
        <v>Pin_Stapler_Pack</v>
      </c>
      <c r="C207" s="5" t="s">
        <v>13</v>
      </c>
      <c r="D207" s="5" t="s">
        <v>421</v>
      </c>
      <c r="E207" s="5"/>
      <c r="F207" s="5" t="s">
        <v>307</v>
      </c>
      <c r="G207" s="5"/>
      <c r="H207" s="6">
        <v>800</v>
      </c>
    </row>
    <row r="208" spans="2:8" x14ac:dyDescent="0.35">
      <c r="B208" s="4" t="str">
        <f>IFERROR(_xlfn.TEXTJOIN("_",TRUE,Price_tbl[[#This Row],[Category]],Price_tbl[[#This Row],[Sub_category]],Price_tbl[[#This Row],[Size]],Price_tbl[[#This Row],[Unit]],Price_tbl[[#This Row],[Color]]),"")</f>
        <v>Pin_Gold sofa_Pack</v>
      </c>
      <c r="C208" s="5" t="s">
        <v>13</v>
      </c>
      <c r="D208" s="5" t="s">
        <v>422</v>
      </c>
      <c r="E208" s="5"/>
      <c r="F208" s="5" t="s">
        <v>307</v>
      </c>
      <c r="G208" s="5"/>
      <c r="H208" s="6"/>
    </row>
    <row r="209" spans="2:8" x14ac:dyDescent="0.35">
      <c r="B209" s="4" t="str">
        <f>IFERROR(_xlfn.TEXTJOIN("_",TRUE,Price_tbl[[#This Row],[Category]],Price_tbl[[#This Row],[Sub_category]],Price_tbl[[#This Row],[Size]],Price_tbl[[#This Row],[Unit]],Price_tbl[[#This Row],[Color]]),"")</f>
        <v>Pin_Silver sofa_Pack</v>
      </c>
      <c r="C209" s="5" t="s">
        <v>13</v>
      </c>
      <c r="D209" s="5" t="s">
        <v>423</v>
      </c>
      <c r="E209" s="5"/>
      <c r="F209" s="5" t="s">
        <v>307</v>
      </c>
      <c r="G209" s="5"/>
      <c r="H209" s="6"/>
    </row>
    <row r="210" spans="2:8" x14ac:dyDescent="0.35">
      <c r="B210" s="4" t="str">
        <f>IFERROR(_xlfn.TEXTJOIN("_",TRUE,Price_tbl[[#This Row],[Category]],Price_tbl[[#This Row],[Sub_category]],Price_tbl[[#This Row],[Size]],Price_tbl[[#This Row],[Unit]],Price_tbl[[#This Row],[Color]]),"")</f>
        <v>Pin_Stud Plastic_Pack</v>
      </c>
      <c r="C210" s="5" t="s">
        <v>13</v>
      </c>
      <c r="D210" s="5" t="s">
        <v>424</v>
      </c>
      <c r="E210" s="5"/>
      <c r="F210" s="5" t="s">
        <v>307</v>
      </c>
      <c r="G210" s="5"/>
      <c r="H210" s="6"/>
    </row>
    <row r="211" spans="2:8" x14ac:dyDescent="0.35">
      <c r="B211" s="4" t="str">
        <f>IFERROR(_xlfn.TEXTJOIN("_",TRUE,Price_tbl[[#This Row],[Category]],Price_tbl[[#This Row],[Sub_category]],Price_tbl[[#This Row],[Size]],Price_tbl[[#This Row],[Unit]],Price_tbl[[#This Row],[Color]]),"")</f>
        <v>Hook_Panel_Pack</v>
      </c>
      <c r="C211" s="5" t="s">
        <v>167</v>
      </c>
      <c r="D211" s="5" t="s">
        <v>415</v>
      </c>
      <c r="E211" s="5"/>
      <c r="F211" s="5" t="s">
        <v>307</v>
      </c>
      <c r="G211" s="5"/>
      <c r="H211" s="6"/>
    </row>
    <row r="212" spans="2:8" x14ac:dyDescent="0.35">
      <c r="B212" s="4" t="str">
        <f>IFERROR(_xlfn.TEXTJOIN("_",TRUE,Price_tbl[[#This Row],[Category]],Price_tbl[[#This Row],[Sub_category]],Price_tbl[[#This Row],[Size]],Price_tbl[[#This Row],[Unit]],Price_tbl[[#This Row],[Color]]),"")</f>
        <v>Hook_Bed_Set</v>
      </c>
      <c r="C212" s="5" t="s">
        <v>167</v>
      </c>
      <c r="D212" s="5" t="s">
        <v>425</v>
      </c>
      <c r="E212" s="5"/>
      <c r="F212" s="5" t="s">
        <v>359</v>
      </c>
      <c r="G212" s="5"/>
      <c r="H212" s="6">
        <v>1500</v>
      </c>
    </row>
    <row r="213" spans="2:8" x14ac:dyDescent="0.35">
      <c r="B213" s="4" t="str">
        <f>IFERROR(_xlfn.TEXTJOIN("_",TRUE,Price_tbl[[#This Row],[Category]],Price_tbl[[#This Row],[Sub_category]],Price_tbl[[#This Row],[Size]],Price_tbl[[#This Row],[Unit]],Price_tbl[[#This Row],[Color]]),"")</f>
        <v>Hook_Sofa_Piece</v>
      </c>
      <c r="C213" s="5" t="s">
        <v>167</v>
      </c>
      <c r="D213" s="5" t="s">
        <v>43</v>
      </c>
      <c r="E213" s="5"/>
      <c r="F213" s="5" t="s">
        <v>49</v>
      </c>
      <c r="G213" s="5"/>
      <c r="H213" s="6"/>
    </row>
    <row r="214" spans="2:8" x14ac:dyDescent="0.35">
      <c r="B214" s="4" t="str">
        <f>IFERROR(_xlfn.TEXTJOIN("_",TRUE,Price_tbl[[#This Row],[Category]],Price_tbl[[#This Row],[Sub_category]],Price_tbl[[#This Row],[Size]],Price_tbl[[#This Row],[Unit]],Price_tbl[[#This Row],[Color]]),"")</f>
        <v>Pin_Stud Silver_Pack</v>
      </c>
      <c r="C214" s="5" t="s">
        <v>13</v>
      </c>
      <c r="D214" s="5" t="s">
        <v>426</v>
      </c>
      <c r="E214" s="5"/>
      <c r="F214" s="5" t="s">
        <v>307</v>
      </c>
      <c r="G214" s="5"/>
      <c r="H214" s="6"/>
    </row>
    <row r="215" spans="2:8" x14ac:dyDescent="0.35">
      <c r="B215" s="4" t="str">
        <f>IFERROR(_xlfn.TEXTJOIN("_",TRUE,Price_tbl[[#This Row],[Category]],Price_tbl[[#This Row],[Sub_category]],Price_tbl[[#This Row],[Size]],Price_tbl[[#This Row],[Unit]],Price_tbl[[#This Row],[Color]]),"")</f>
        <v>Pole_Cabinet_Piece</v>
      </c>
      <c r="C215" s="5" t="s">
        <v>168</v>
      </c>
      <c r="D215" s="5" t="s">
        <v>427</v>
      </c>
      <c r="E215" s="5"/>
      <c r="F215" s="5" t="s">
        <v>49</v>
      </c>
      <c r="G215" s="5"/>
      <c r="H215" s="6"/>
    </row>
    <row r="216" spans="2:8" x14ac:dyDescent="0.35">
      <c r="B216" s="4" t="str">
        <f>IFERROR(_xlfn.TEXTJOIN("_",TRUE,Price_tbl[[#This Row],[Category]],Price_tbl[[#This Row],[Sub_category]],Price_tbl[[#This Row],[Size]],Price_tbl[[#This Row],[Unit]],Price_tbl[[#This Row],[Color]]),"")</f>
        <v>Pole_Curtain_Piece</v>
      </c>
      <c r="C216" s="5" t="s">
        <v>168</v>
      </c>
      <c r="D216" s="5" t="s">
        <v>428</v>
      </c>
      <c r="E216" s="5"/>
      <c r="F216" s="5" t="s">
        <v>49</v>
      </c>
      <c r="G216" s="5"/>
      <c r="H216" s="6"/>
    </row>
    <row r="217" spans="2:8" x14ac:dyDescent="0.35">
      <c r="B217" s="4" t="str">
        <f>IFERROR(_xlfn.TEXTJOIN("_",TRUE,Price_tbl[[#This Row],[Category]],Price_tbl[[#This Row],[Sub_category]],Price_tbl[[#This Row],[Size]],Price_tbl[[#This Row],[Unit]],Price_tbl[[#This Row],[Color]]),"")</f>
        <v>Packaging_Wrapping nylon_Medium_Piece</v>
      </c>
      <c r="C217" s="5" t="s">
        <v>301</v>
      </c>
      <c r="D217" s="5" t="s">
        <v>429</v>
      </c>
      <c r="E217" s="5" t="s">
        <v>430</v>
      </c>
      <c r="F217" s="5" t="s">
        <v>49</v>
      </c>
      <c r="G217" s="5"/>
      <c r="H217" s="6"/>
    </row>
    <row r="218" spans="2:8" x14ac:dyDescent="0.35">
      <c r="B218" s="4" t="str">
        <f>IFERROR(_xlfn.TEXTJOIN("_",TRUE,Price_tbl[[#This Row],[Category]],Price_tbl[[#This Row],[Sub_category]],Price_tbl[[#This Row],[Size]],Price_tbl[[#This Row],[Unit]],Price_tbl[[#This Row],[Color]]),"")</f>
        <v>Packaging_Bubble_Pack</v>
      </c>
      <c r="C218" s="5" t="s">
        <v>301</v>
      </c>
      <c r="D218" s="5" t="s">
        <v>431</v>
      </c>
      <c r="E218" s="5"/>
      <c r="F218" s="5" t="s">
        <v>307</v>
      </c>
      <c r="G218" s="5"/>
      <c r="H218" s="6"/>
    </row>
    <row r="219" spans="2:8" x14ac:dyDescent="0.35">
      <c r="B219" s="4" t="str">
        <f>IFERROR(_xlfn.TEXTJOIN("_",TRUE,Price_tbl[[#This Row],[Category]],Price_tbl[[#This Row],[Sub_category]],Price_tbl[[#This Row],[Size]],Price_tbl[[#This Row],[Unit]],Price_tbl[[#This Row],[Color]]),"")</f>
        <v>Packaging_Wrapping nylon_Large_Piece</v>
      </c>
      <c r="C219" s="5" t="s">
        <v>301</v>
      </c>
      <c r="D219" s="5" t="s">
        <v>429</v>
      </c>
      <c r="E219" s="5" t="s">
        <v>432</v>
      </c>
      <c r="F219" s="5" t="s">
        <v>49</v>
      </c>
      <c r="G219" s="5"/>
      <c r="H219" s="6"/>
    </row>
    <row r="220" spans="2:8" x14ac:dyDescent="0.35">
      <c r="B220" s="4" t="str">
        <f>IFERROR(_xlfn.TEXTJOIN("_",TRUE,Price_tbl[[#This Row],[Category]],Price_tbl[[#This Row],[Sub_category]],Price_tbl[[#This Row],[Size]],Price_tbl[[#This Row],[Unit]],Price_tbl[[#This Row],[Color]]),"")</f>
        <v>Packaging_Cellutape_Medium_Piece</v>
      </c>
      <c r="C220" s="5" t="s">
        <v>301</v>
      </c>
      <c r="D220" s="5" t="s">
        <v>433</v>
      </c>
      <c r="E220" s="5" t="s">
        <v>430</v>
      </c>
      <c r="F220" s="5" t="s">
        <v>49</v>
      </c>
      <c r="G220" s="5"/>
      <c r="H220" s="6"/>
    </row>
    <row r="221" spans="2:8" x14ac:dyDescent="0.35">
      <c r="B221" s="4" t="str">
        <f>IFERROR(_xlfn.TEXTJOIN("_",TRUE,Price_tbl[[#This Row],[Category]],Price_tbl[[#This Row],[Sub_category]],Price_tbl[[#This Row],[Size]],Price_tbl[[#This Row],[Unit]],Price_tbl[[#This Row],[Color]]),"")</f>
        <v>Chrome_Silver_Piece</v>
      </c>
      <c r="C221" s="5" t="s">
        <v>169</v>
      </c>
      <c r="D221" s="5" t="s">
        <v>434</v>
      </c>
      <c r="E221" s="5"/>
      <c r="F221" s="5" t="s">
        <v>49</v>
      </c>
      <c r="G221" s="5"/>
      <c r="H221" s="6"/>
    </row>
    <row r="222" spans="2:8" x14ac:dyDescent="0.35">
      <c r="B222" s="4" t="str">
        <f>IFERROR(_xlfn.TEXTJOIN("_",TRUE,Price_tbl[[#This Row],[Category]],Price_tbl[[#This Row],[Sub_category]],Price_tbl[[#This Row],[Size]],Price_tbl[[#This Row],[Unit]],Price_tbl[[#This Row],[Color]]),"")</f>
        <v>Chrome_Black_Piece</v>
      </c>
      <c r="C222" s="5" t="s">
        <v>169</v>
      </c>
      <c r="D222" s="5" t="s">
        <v>225</v>
      </c>
      <c r="E222" s="5"/>
      <c r="F222" s="5" t="s">
        <v>49</v>
      </c>
      <c r="G222" s="5"/>
      <c r="H222" s="6"/>
    </row>
    <row r="223" spans="2:8" x14ac:dyDescent="0.35">
      <c r="B223" s="4" t="str">
        <f>IFERROR(_xlfn.TEXTJOIN("_",TRUE,Price_tbl[[#This Row],[Category]],Price_tbl[[#This Row],[Sub_category]],Price_tbl[[#This Row],[Size]],Price_tbl[[#This Row],[Unit]],Price_tbl[[#This Row],[Color]]),"")</f>
        <v>Insecticide_DD force_Piece</v>
      </c>
      <c r="C223" s="5" t="s">
        <v>309</v>
      </c>
      <c r="D223" s="5" t="s">
        <v>435</v>
      </c>
      <c r="E223" s="5"/>
      <c r="F223" s="5" t="s">
        <v>49</v>
      </c>
      <c r="G223" s="5"/>
      <c r="H223" s="6"/>
    </row>
    <row r="224" spans="2:8" x14ac:dyDescent="0.35">
      <c r="B224" s="4" t="str">
        <f>IFERROR(_xlfn.TEXTJOIN("_",TRUE,Price_tbl[[#This Row],[Category]],Price_tbl[[#This Row],[Sub_category]],Price_tbl[[#This Row],[Size]],Price_tbl[[#This Row],[Unit]],Price_tbl[[#This Row],[Color]]),"")</f>
        <v>Others_Sand_Paper_Yard</v>
      </c>
      <c r="C224" s="5" t="s">
        <v>170</v>
      </c>
      <c r="D224" s="5" t="s">
        <v>436</v>
      </c>
      <c r="E224" s="5"/>
      <c r="F224" s="5" t="s">
        <v>214</v>
      </c>
      <c r="G224" s="5"/>
      <c r="H224" s="6"/>
    </row>
    <row r="225" spans="2:8" x14ac:dyDescent="0.35">
      <c r="B225" s="4" t="str">
        <f>IFERROR(_xlfn.TEXTJOIN("_",TRUE,Price_tbl[[#This Row],[Category]],Price_tbl[[#This Row],[Sub_category]],Price_tbl[[#This Row],[Size]],Price_tbl[[#This Row],[Unit]],Price_tbl[[#This Row],[Color]]),"")</f>
        <v>Others_Carton_Piece</v>
      </c>
      <c r="C225" s="5" t="s">
        <v>170</v>
      </c>
      <c r="D225" s="5" t="s">
        <v>437</v>
      </c>
      <c r="E225" s="5"/>
      <c r="F225" s="5" t="s">
        <v>49</v>
      </c>
      <c r="G225" s="5"/>
      <c r="H225" s="6"/>
    </row>
    <row r="226" spans="2:8" x14ac:dyDescent="0.35">
      <c r="B226" s="4" t="str">
        <f>IFERROR(_xlfn.TEXTJOIN("_",TRUE,Price_tbl[[#This Row],[Category]],Price_tbl[[#This Row],[Sub_category]],Price_tbl[[#This Row],[Size]],Price_tbl[[#This Row],[Unit]],Price_tbl[[#This Row],[Color]]),"")</f>
        <v>Others_Rope_Piece</v>
      </c>
      <c r="C226" s="5" t="s">
        <v>170</v>
      </c>
      <c r="D226" s="5" t="s">
        <v>438</v>
      </c>
      <c r="E226" s="5"/>
      <c r="F226" s="5" t="s">
        <v>49</v>
      </c>
      <c r="G226" s="5"/>
      <c r="H226" s="6"/>
    </row>
    <row r="227" spans="2:8" x14ac:dyDescent="0.35">
      <c r="B227" s="4" t="str">
        <f>IFERROR(_xlfn.TEXTJOIN("_",TRUE,Price_tbl[[#This Row],[Category]],Price_tbl[[#This Row],[Sub_category]],Price_tbl[[#This Row],[Size]],Price_tbl[[#This Row],[Unit]],Price_tbl[[#This Row],[Color]]),"")</f>
        <v>Others_Fiber scrums_Pound weight</v>
      </c>
      <c r="C227" s="5" t="s">
        <v>170</v>
      </c>
      <c r="D227" s="5" t="s">
        <v>439</v>
      </c>
      <c r="E227" s="5"/>
      <c r="F227" s="5" t="s">
        <v>258</v>
      </c>
      <c r="G227" s="5"/>
      <c r="H227" s="6"/>
    </row>
    <row r="228" spans="2:8" x14ac:dyDescent="0.35">
      <c r="B228" s="4" t="str">
        <f>IFERROR(_xlfn.TEXTJOIN("_",TRUE,Price_tbl[[#This Row],[Category]],Price_tbl[[#This Row],[Sub_category]],Price_tbl[[#This Row],[Size]],Price_tbl[[#This Row],[Unit]],Price_tbl[[#This Row],[Color]]),"")</f>
        <v>Others_button_Piece</v>
      </c>
      <c r="C228" s="5" t="s">
        <v>170</v>
      </c>
      <c r="D228" s="5" t="s">
        <v>440</v>
      </c>
      <c r="E228" s="5"/>
      <c r="F228" s="5" t="s">
        <v>49</v>
      </c>
      <c r="G228" s="5"/>
      <c r="H228" s="6"/>
    </row>
    <row r="229" spans="2:8" x14ac:dyDescent="0.35">
      <c r="B229" s="4" t="str">
        <f>IFERROR(_xlfn.TEXTJOIN("_",TRUE,Price_tbl[[#This Row],[Category]],Price_tbl[[#This Row],[Sub_category]],Price_tbl[[#This Row],[Size]],Price_tbl[[#This Row],[Unit]],Price_tbl[[#This Row],[Color]]),"")</f>
        <v>Others_Troying_Piece</v>
      </c>
      <c r="C229" s="5" t="s">
        <v>170</v>
      </c>
      <c r="D229" s="5" t="s">
        <v>441</v>
      </c>
      <c r="E229" s="5"/>
      <c r="F229" s="5" t="s">
        <v>49</v>
      </c>
      <c r="G229" s="5"/>
      <c r="H229" s="6"/>
    </row>
    <row r="230" spans="2:8" x14ac:dyDescent="0.35">
      <c r="B230" s="4" t="str">
        <f>IFERROR(_xlfn.TEXTJOIN("_",TRUE,Price_tbl[[#This Row],[Category]],Price_tbl[[#This Row],[Sub_category]],Price_tbl[[#This Row],[Size]],Price_tbl[[#This Row],[Unit]],Price_tbl[[#This Row],[Color]]),"")</f>
        <v>Others_Tyre_Piece</v>
      </c>
      <c r="C230" s="5" t="s">
        <v>170</v>
      </c>
      <c r="D230" s="5" t="s">
        <v>442</v>
      </c>
      <c r="E230" s="5"/>
      <c r="F230" s="5" t="s">
        <v>49</v>
      </c>
      <c r="G230" s="5"/>
      <c r="H230" s="6"/>
    </row>
    <row r="231" spans="2:8" x14ac:dyDescent="0.35">
      <c r="B231" s="4" t="str">
        <f>IFERROR(_xlfn.TEXTJOIN("_",TRUE,Price_tbl[[#This Row],[Category]],Price_tbl[[#This Row],[Sub_category]],Price_tbl[[#This Row],[Size]],Price_tbl[[#This Row],[Unit]],Price_tbl[[#This Row],[Color]]),"")</f>
        <v>Others_Wibing_Rubber_Yard</v>
      </c>
      <c r="C231" s="5" t="s">
        <v>170</v>
      </c>
      <c r="D231" s="5" t="s">
        <v>443</v>
      </c>
      <c r="E231" s="5"/>
      <c r="F231" s="5" t="s">
        <v>214</v>
      </c>
      <c r="G231" s="5"/>
      <c r="H231" s="6">
        <v>290</v>
      </c>
    </row>
    <row r="232" spans="2:8" x14ac:dyDescent="0.35">
      <c r="B232" s="4" t="str">
        <f>IFERROR(_xlfn.TEXTJOIN("_",TRUE,Price_tbl[[#This Row],[Category]],Price_tbl[[#This Row],[Sub_category]],Price_tbl[[#This Row],[Size]],Price_tbl[[#This Row],[Unit]],Price_tbl[[#This Row],[Color]]),"")</f>
        <v>Others_Spring_Piece</v>
      </c>
      <c r="C232" s="5" t="s">
        <v>170</v>
      </c>
      <c r="D232" s="5" t="s">
        <v>444</v>
      </c>
      <c r="E232" s="5"/>
      <c r="F232" s="5" t="s">
        <v>49</v>
      </c>
      <c r="G232" s="5"/>
      <c r="H232" s="6"/>
    </row>
    <row r="233" spans="2:8" x14ac:dyDescent="0.35">
      <c r="B233" s="4" t="str">
        <f>IFERROR(_xlfn.TEXTJOIN("_",TRUE,Price_tbl[[#This Row],[Category]],Price_tbl[[#This Row],[Sub_category]],Price_tbl[[#This Row],[Size]],Price_tbl[[#This Row],[Unit]],Price_tbl[[#This Row],[Color]]),"")</f>
        <v>Paint_Emulsion_Bucket</v>
      </c>
      <c r="C233" s="5" t="s">
        <v>166</v>
      </c>
      <c r="D233" s="5" t="s">
        <v>445</v>
      </c>
      <c r="E233" s="5"/>
      <c r="F233" s="5" t="s">
        <v>446</v>
      </c>
      <c r="G233" s="5"/>
      <c r="H233" s="6"/>
    </row>
    <row r="234" spans="2:8" x14ac:dyDescent="0.35">
      <c r="B234" s="4" t="str">
        <f>IFERROR(_xlfn.TEXTJOIN("_",TRUE,Price_tbl[[#This Row],[Category]],Price_tbl[[#This Row],[Sub_category]],Price_tbl[[#This Row],[Size]],Price_tbl[[#This Row],[Unit]],Price_tbl[[#This Row],[Color]]),"")</f>
        <v>Others_wainscoating_Piece</v>
      </c>
      <c r="C234" s="5" t="s">
        <v>170</v>
      </c>
      <c r="D234" s="5" t="s">
        <v>447</v>
      </c>
      <c r="E234" s="5"/>
      <c r="F234" s="5" t="s">
        <v>49</v>
      </c>
      <c r="G234" s="5"/>
      <c r="H234" s="6"/>
    </row>
    <row r="235" spans="2:8" x14ac:dyDescent="0.35">
      <c r="B235" s="4" t="str">
        <f>IFERROR(_xlfn.TEXTJOIN("_",TRUE,Price_tbl[[#This Row],[Category]],Price_tbl[[#This Row],[Sub_category]],Price_tbl[[#This Row],[Size]],Price_tbl[[#This Row],[Unit]],Price_tbl[[#This Row],[Color]]),"")</f>
        <v>Paint_Spray paint_Piece</v>
      </c>
      <c r="C235" s="5" t="s">
        <v>166</v>
      </c>
      <c r="D235" s="5" t="s">
        <v>448</v>
      </c>
      <c r="E235" s="5"/>
      <c r="F235" s="5" t="s">
        <v>49</v>
      </c>
      <c r="G235" s="5"/>
      <c r="H235" s="6"/>
    </row>
    <row r="236" spans="2:8" x14ac:dyDescent="0.35">
      <c r="B236" s="4" t="str">
        <f>IFERROR(_xlfn.TEXTJOIN("_",TRUE,Price_tbl[[#This Row],[Category]],Price_tbl[[#This Row],[Sub_category]],Price_tbl[[#This Row],[Size]],Price_tbl[[#This Row],[Unit]],Price_tbl[[#This Row],[Color]]),"")</f>
        <v>Others_Wibing Rubber_Roll</v>
      </c>
      <c r="C236" s="5" t="s">
        <v>170</v>
      </c>
      <c r="D236" s="5" t="s">
        <v>449</v>
      </c>
      <c r="E236" s="5"/>
      <c r="F236" s="5" t="s">
        <v>419</v>
      </c>
      <c r="G236" s="5"/>
      <c r="H236" s="6"/>
    </row>
    <row r="237" spans="2:8" x14ac:dyDescent="0.35">
      <c r="B237" s="4" t="str">
        <f>IFERROR(_xlfn.TEXTJOIN("_",TRUE,Price_tbl[[#This Row],[Category]],Price_tbl[[#This Row],[Sub_category]],Price_tbl[[#This Row],[Size]],Price_tbl[[#This Row],[Unit]],Price_tbl[[#This Row],[Color]]),"")</f>
        <v>Paint_Auto cray_Piece</v>
      </c>
      <c r="C237" s="5" t="s">
        <v>166</v>
      </c>
      <c r="D237" s="5" t="s">
        <v>450</v>
      </c>
      <c r="E237" s="5"/>
      <c r="F237" s="5" t="s">
        <v>49</v>
      </c>
      <c r="G237" s="5"/>
      <c r="H237" s="6"/>
    </row>
    <row r="238" spans="2:8" x14ac:dyDescent="0.35">
      <c r="B238" s="4" t="str">
        <f>IFERROR(_xlfn.TEXTJOIN("_",TRUE,Price_tbl[[#This Row],[Category]],Price_tbl[[#This Row],[Sub_category]],Price_tbl[[#This Row],[Size]],Price_tbl[[#This Row],[Unit]],Price_tbl[[#This Row],[Color]]),"")</f>
        <v>Paint_Auto base_Piece</v>
      </c>
      <c r="C238" s="5" t="s">
        <v>166</v>
      </c>
      <c r="D238" s="5" t="s">
        <v>451</v>
      </c>
      <c r="E238" s="5"/>
      <c r="F238" s="5" t="s">
        <v>49</v>
      </c>
      <c r="G238" s="5"/>
      <c r="H238" s="6"/>
    </row>
    <row r="239" spans="2:8" x14ac:dyDescent="0.35">
      <c r="B239" s="4" t="str">
        <f>IFERROR(_xlfn.TEXTJOIN("_",TRUE,Price_tbl[[#This Row],[Category]],Price_tbl[[#This Row],[Sub_category]],Price_tbl[[#This Row],[Size]],Price_tbl[[#This Row],[Unit]],Price_tbl[[#This Row],[Color]]),"")</f>
        <v>Paint_Primer_Piece</v>
      </c>
      <c r="C239" s="5" t="s">
        <v>166</v>
      </c>
      <c r="D239" s="5" t="s">
        <v>452</v>
      </c>
      <c r="E239" s="5"/>
      <c r="F239" s="5" t="s">
        <v>49</v>
      </c>
      <c r="G239" s="5"/>
      <c r="H239" s="6"/>
    </row>
    <row r="240" spans="2:8" x14ac:dyDescent="0.35">
      <c r="B240" s="4" t="str">
        <f>IFERROR(_xlfn.TEXTJOIN("_",TRUE,Price_tbl[[#This Row],[Category]],Price_tbl[[#This Row],[Sub_category]],Price_tbl[[#This Row],[Size]],Price_tbl[[#This Row],[Unit]],Price_tbl[[#This Row],[Color]]),"")</f>
        <v>Paint_Hardner_Piece</v>
      </c>
      <c r="C240" s="5" t="s">
        <v>166</v>
      </c>
      <c r="D240" s="5" t="s">
        <v>453</v>
      </c>
      <c r="E240" s="5"/>
      <c r="F240" s="5" t="s">
        <v>49</v>
      </c>
      <c r="G240" s="5"/>
      <c r="H240" s="6"/>
    </row>
    <row r="241" spans="2:8" x14ac:dyDescent="0.35">
      <c r="B241" s="4" t="str">
        <f>IFERROR(_xlfn.TEXTJOIN("_",TRUE,Price_tbl[[#This Row],[Category]],Price_tbl[[#This Row],[Sub_category]],Price_tbl[[#This Row],[Size]],Price_tbl[[#This Row],[Unit]],Price_tbl[[#This Row],[Color]]),"")</f>
        <v>Paint_Body filler_Piece</v>
      </c>
      <c r="C241" s="5" t="s">
        <v>166</v>
      </c>
      <c r="D241" s="5" t="s">
        <v>454</v>
      </c>
      <c r="E241" s="5"/>
      <c r="F241" s="5" t="s">
        <v>49</v>
      </c>
      <c r="G241" s="5"/>
      <c r="H241" s="6"/>
    </row>
    <row r="242" spans="2:8" x14ac:dyDescent="0.35">
      <c r="B242" s="4" t="str">
        <f>IFERROR(_xlfn.TEXTJOIN("_",TRUE,Price_tbl[[#This Row],[Category]],Price_tbl[[#This Row],[Sub_category]],Price_tbl[[#This Row],[Size]],Price_tbl[[#This Row],[Unit]],Price_tbl[[#This Row],[Color]]),"")</f>
        <v>Machine_accessories_Grinder backing pad_small_Piece</v>
      </c>
      <c r="C242" s="5" t="s">
        <v>455</v>
      </c>
      <c r="D242" s="5" t="s">
        <v>456</v>
      </c>
      <c r="E242" s="5" t="s">
        <v>457</v>
      </c>
      <c r="F242" s="5" t="s">
        <v>49</v>
      </c>
      <c r="G242" s="5"/>
      <c r="H242" s="6"/>
    </row>
    <row r="243" spans="2:8" x14ac:dyDescent="0.35">
      <c r="B243" s="4" t="str">
        <f>IFERROR(_xlfn.TEXTJOIN("_",TRUE,Price_tbl[[#This Row],[Category]],Price_tbl[[#This Row],[Sub_category]],Price_tbl[[#This Row],[Size]],Price_tbl[[#This Row],[Unit]],Price_tbl[[#This Row],[Color]]),"")</f>
        <v>Drawer_Runner_Undermount_Pair</v>
      </c>
      <c r="C243" s="5" t="s">
        <v>4</v>
      </c>
      <c r="D243" s="5" t="s">
        <v>458</v>
      </c>
      <c r="E243" s="5"/>
      <c r="F243" s="5" t="s">
        <v>109</v>
      </c>
      <c r="G243" s="5"/>
      <c r="H243" s="6"/>
    </row>
    <row r="244" spans="2:8" x14ac:dyDescent="0.35">
      <c r="B244" s="4" t="str">
        <f>IFERROR(_xlfn.TEXTJOIN("_",TRUE,Price_tbl[[#This Row],[Category]],Price_tbl[[#This Row],[Sub_category]],Price_tbl[[#This Row],[Size]],Price_tbl[[#This Row],[Unit]],Price_tbl[[#This Row],[Color]]),"")</f>
        <v>Others_Table Plastic cover_Piece</v>
      </c>
      <c r="C244" s="5" t="s">
        <v>170</v>
      </c>
      <c r="D244" s="5" t="s">
        <v>459</v>
      </c>
      <c r="E244" s="5"/>
      <c r="F244" s="5" t="s">
        <v>49</v>
      </c>
      <c r="G244" s="5"/>
      <c r="H244" s="6"/>
    </row>
    <row r="245" spans="2:8" x14ac:dyDescent="0.35">
      <c r="B245" s="4" t="str">
        <f>IFERROR(_xlfn.TEXTJOIN("_",TRUE,Price_tbl[[#This Row],[Category]],Price_tbl[[#This Row],[Sub_category]],Price_tbl[[#This Row],[Size]],Price_tbl[[#This Row],[Unit]],Price_tbl[[#This Row],[Color]]),"")</f>
        <v>Castor_Pencil_2"_Set_Black</v>
      </c>
      <c r="C245" s="5" t="s">
        <v>9</v>
      </c>
      <c r="D245" s="5" t="s">
        <v>358</v>
      </c>
      <c r="E245" s="5" t="s">
        <v>275</v>
      </c>
      <c r="F245" s="5" t="s">
        <v>359</v>
      </c>
      <c r="G245" s="5" t="s">
        <v>225</v>
      </c>
      <c r="H245" s="6"/>
    </row>
    <row r="246" spans="2:8" x14ac:dyDescent="0.35">
      <c r="B246" s="4" t="str">
        <f>IFERROR(_xlfn.TEXTJOIN("_",TRUE,Price_tbl[[#This Row],[Category]],Price_tbl[[#This Row],[Sub_category]],Price_tbl[[#This Row],[Size]],Price_tbl[[#This Row],[Unit]],Price_tbl[[#This Row],[Color]]),"")</f>
        <v>Castor_Pencil_3"_Set_Black</v>
      </c>
      <c r="C246" s="5" t="s">
        <v>9</v>
      </c>
      <c r="D246" s="5" t="s">
        <v>358</v>
      </c>
      <c r="E246" s="5" t="s">
        <v>303</v>
      </c>
      <c r="F246" s="5" t="s">
        <v>359</v>
      </c>
      <c r="G246" s="5" t="s">
        <v>225</v>
      </c>
      <c r="H246" s="6"/>
    </row>
    <row r="247" spans="2:8" x14ac:dyDescent="0.35">
      <c r="B247" s="4" t="str">
        <f>IFERROR(_xlfn.TEXTJOIN("_",TRUE,Price_tbl[[#This Row],[Category]],Price_tbl[[#This Row],[Sub_category]],Price_tbl[[#This Row],[Size]],Price_tbl[[#This Row],[Unit]],Price_tbl[[#This Row],[Color]]),"")</f>
        <v>Castor_Pencil_4"_Set_Black</v>
      </c>
      <c r="C247" s="5" t="s">
        <v>9</v>
      </c>
      <c r="D247" s="5" t="s">
        <v>358</v>
      </c>
      <c r="E247" s="5" t="s">
        <v>360</v>
      </c>
      <c r="F247" s="5" t="s">
        <v>359</v>
      </c>
      <c r="G247" s="5" t="s">
        <v>225</v>
      </c>
      <c r="H247" s="6">
        <v>3500</v>
      </c>
    </row>
    <row r="248" spans="2:8" x14ac:dyDescent="0.35">
      <c r="B248" s="4" t="str">
        <f>IFERROR(_xlfn.TEXTJOIN("_",TRUE,Price_tbl[[#This Row],[Category]],Price_tbl[[#This Row],[Sub_category]],Price_tbl[[#This Row],[Size]],Price_tbl[[#This Row],[Unit]],Price_tbl[[#This Row],[Color]]),"")</f>
        <v>Castor_Pencil_5"_Set_Black</v>
      </c>
      <c r="C248" s="5" t="s">
        <v>9</v>
      </c>
      <c r="D248" s="5" t="s">
        <v>358</v>
      </c>
      <c r="E248" s="5" t="s">
        <v>361</v>
      </c>
      <c r="F248" s="5" t="s">
        <v>359</v>
      </c>
      <c r="G248" s="5" t="s">
        <v>225</v>
      </c>
      <c r="H248" s="6">
        <v>4000</v>
      </c>
    </row>
    <row r="249" spans="2:8" x14ac:dyDescent="0.35">
      <c r="B249" s="4" t="str">
        <f>IFERROR(_xlfn.TEXTJOIN("_",TRUE,Price_tbl[[#This Row],[Category]],Price_tbl[[#This Row],[Sub_category]],Price_tbl[[#This Row],[Size]],Price_tbl[[#This Row],[Unit]],Price_tbl[[#This Row],[Color]]),"")</f>
        <v>Castor_Pencil_6"_Set_Black</v>
      </c>
      <c r="C249" s="5" t="s">
        <v>9</v>
      </c>
      <c r="D249" s="5" t="s">
        <v>358</v>
      </c>
      <c r="E249" s="5" t="s">
        <v>70</v>
      </c>
      <c r="F249" s="5" t="s">
        <v>359</v>
      </c>
      <c r="G249" s="5" t="s">
        <v>225</v>
      </c>
      <c r="H249" s="6"/>
    </row>
    <row r="250" spans="2:8" x14ac:dyDescent="0.35">
      <c r="B250" s="4" t="str">
        <f>IFERROR(_xlfn.TEXTJOIN("_",TRUE,Price_tbl[[#This Row],[Category]],Price_tbl[[#This Row],[Sub_category]],Price_tbl[[#This Row],[Size]],Price_tbl[[#This Row],[Unit]],Price_tbl[[#This Row],[Color]]),"")</f>
        <v>Castor_Pencil_7"_Set_Black</v>
      </c>
      <c r="C250" s="5" t="s">
        <v>9</v>
      </c>
      <c r="D250" s="5" t="s">
        <v>358</v>
      </c>
      <c r="E250" s="5" t="s">
        <v>362</v>
      </c>
      <c r="F250" s="5" t="s">
        <v>359</v>
      </c>
      <c r="G250" s="5" t="s">
        <v>225</v>
      </c>
      <c r="H250" s="6"/>
    </row>
    <row r="251" spans="2:8" x14ac:dyDescent="0.35">
      <c r="B251" s="4" t="str">
        <f>IFERROR(_xlfn.TEXTJOIN("_",TRUE,Price_tbl[[#This Row],[Category]],Price_tbl[[#This Row],[Sub_category]],Price_tbl[[#This Row],[Size]],Price_tbl[[#This Row],[Unit]],Price_tbl[[#This Row],[Color]]),"")</f>
        <v>Castor_Pencil_8"_Set_Black</v>
      </c>
      <c r="C251" s="5" t="s">
        <v>9</v>
      </c>
      <c r="D251" s="5" t="s">
        <v>358</v>
      </c>
      <c r="E251" s="5" t="s">
        <v>363</v>
      </c>
      <c r="F251" s="5" t="s">
        <v>359</v>
      </c>
      <c r="G251" s="5" t="s">
        <v>225</v>
      </c>
      <c r="H251" s="6"/>
    </row>
    <row r="252" spans="2:8" x14ac:dyDescent="0.35">
      <c r="B252" s="4" t="str">
        <f>IFERROR(_xlfn.TEXTJOIN("_",TRUE,Price_tbl[[#This Row],[Category]],Price_tbl[[#This Row],[Sub_category]],Price_tbl[[#This Row],[Size]],Price_tbl[[#This Row],[Unit]],Price_tbl[[#This Row],[Color]]),"")</f>
        <v>Castor_Pencil_9"_Set_Black</v>
      </c>
      <c r="C252" s="5" t="s">
        <v>9</v>
      </c>
      <c r="D252" s="5" t="s">
        <v>358</v>
      </c>
      <c r="E252" s="5" t="s">
        <v>364</v>
      </c>
      <c r="F252" s="5" t="s">
        <v>359</v>
      </c>
      <c r="G252" s="5" t="s">
        <v>225</v>
      </c>
      <c r="H252" s="6"/>
    </row>
    <row r="253" spans="2:8" x14ac:dyDescent="0.35">
      <c r="B253" s="4" t="str">
        <f>IFERROR(_xlfn.TEXTJOIN("_",TRUE,Price_tbl[[#This Row],[Category]],Price_tbl[[#This Row],[Sub_category]],Price_tbl[[#This Row],[Size]],Price_tbl[[#This Row],[Unit]],Price_tbl[[#This Row],[Color]]),"")</f>
        <v>Castor_Pencil_10"_Set_Black</v>
      </c>
      <c r="C253" s="5" t="s">
        <v>9</v>
      </c>
      <c r="D253" s="5" t="s">
        <v>358</v>
      </c>
      <c r="E253" s="5" t="s">
        <v>108</v>
      </c>
      <c r="F253" s="5" t="s">
        <v>359</v>
      </c>
      <c r="G253" s="5" t="s">
        <v>225</v>
      </c>
      <c r="H253" s="6"/>
    </row>
    <row r="254" spans="2:8" x14ac:dyDescent="0.35">
      <c r="B254" s="4" t="str">
        <f>IFERROR(_xlfn.TEXTJOIN("_",TRUE,Price_tbl[[#This Row],[Category]],Price_tbl[[#This Row],[Sub_category]],Price_tbl[[#This Row],[Size]],Price_tbl[[#This Row],[Unit]],Price_tbl[[#This Row],[Color]]),"")</f>
        <v>Castor_Pencil_11"_Set_Black</v>
      </c>
      <c r="C254" s="5" t="s">
        <v>9</v>
      </c>
      <c r="D254" s="5" t="s">
        <v>358</v>
      </c>
      <c r="E254" s="5" t="s">
        <v>365</v>
      </c>
      <c r="F254" s="5" t="s">
        <v>359</v>
      </c>
      <c r="G254" s="5" t="s">
        <v>225</v>
      </c>
      <c r="H254" s="6"/>
    </row>
    <row r="255" spans="2:8" x14ac:dyDescent="0.35">
      <c r="B255" s="4" t="str">
        <f>IFERROR(_xlfn.TEXTJOIN("_",TRUE,Price_tbl[[#This Row],[Category]],Price_tbl[[#This Row],[Sub_category]],Price_tbl[[#This Row],[Size]],Price_tbl[[#This Row],[Unit]],Price_tbl[[#This Row],[Color]]),"")</f>
        <v>Castor_Pencil_12"_Set_Black</v>
      </c>
      <c r="C255" s="5" t="s">
        <v>9</v>
      </c>
      <c r="D255" s="5" t="s">
        <v>358</v>
      </c>
      <c r="E255" s="5" t="s">
        <v>124</v>
      </c>
      <c r="F255" s="5" t="s">
        <v>359</v>
      </c>
      <c r="G255" s="5" t="s">
        <v>225</v>
      </c>
      <c r="H255" s="6"/>
    </row>
    <row r="256" spans="2:8" x14ac:dyDescent="0.35">
      <c r="B256" s="4" t="str">
        <f>IFERROR(_xlfn.TEXTJOIN("_",TRUE,Price_tbl[[#This Row],[Category]],Price_tbl[[#This Row],[Sub_category]],Price_tbl[[#This Row],[Size]],Price_tbl[[#This Row],[Unit]],Price_tbl[[#This Row],[Color]]),"")</f>
        <v>Castor_Pencil_13"_Set_Black</v>
      </c>
      <c r="C256" s="5" t="s">
        <v>9</v>
      </c>
      <c r="D256" s="5" t="s">
        <v>358</v>
      </c>
      <c r="E256" s="5" t="s">
        <v>366</v>
      </c>
      <c r="F256" s="5" t="s">
        <v>359</v>
      </c>
      <c r="G256" s="5" t="s">
        <v>225</v>
      </c>
      <c r="H256" s="6"/>
    </row>
    <row r="257" spans="2:8" x14ac:dyDescent="0.35">
      <c r="B257" s="4" t="str">
        <f>IFERROR(_xlfn.TEXTJOIN("_",TRUE,Price_tbl[[#This Row],[Category]],Price_tbl[[#This Row],[Sub_category]],Price_tbl[[#This Row],[Size]],Price_tbl[[#This Row],[Unit]],Price_tbl[[#This Row],[Color]]),"")</f>
        <v>Castor_Pencil_14"_Set_Black</v>
      </c>
      <c r="C257" s="5" t="s">
        <v>9</v>
      </c>
      <c r="D257" s="5" t="s">
        <v>358</v>
      </c>
      <c r="E257" s="5" t="s">
        <v>136</v>
      </c>
      <c r="F257" s="5" t="s">
        <v>359</v>
      </c>
      <c r="G257" s="5" t="s">
        <v>225</v>
      </c>
      <c r="H257" s="6"/>
    </row>
    <row r="258" spans="2:8" x14ac:dyDescent="0.35">
      <c r="B258" s="4" t="str">
        <f>IFERROR(_xlfn.TEXTJOIN("_",TRUE,Price_tbl[[#This Row],[Category]],Price_tbl[[#This Row],[Sub_category]],Price_tbl[[#This Row],[Size]],Price_tbl[[#This Row],[Unit]],Price_tbl[[#This Row],[Color]]),"")</f>
        <v>Castor_Pencil_15"_Set_Black</v>
      </c>
      <c r="C258" s="5" t="s">
        <v>9</v>
      </c>
      <c r="D258" s="5" t="s">
        <v>358</v>
      </c>
      <c r="E258" s="5" t="s">
        <v>367</v>
      </c>
      <c r="F258" s="5" t="s">
        <v>359</v>
      </c>
      <c r="G258" s="5" t="s">
        <v>225</v>
      </c>
      <c r="H258" s="6"/>
    </row>
    <row r="259" spans="2:8" x14ac:dyDescent="0.35">
      <c r="B259" s="4" t="str">
        <f>IFERROR(_xlfn.TEXTJOIN("_",TRUE,Price_tbl[[#This Row],[Category]],Price_tbl[[#This Row],[Sub_category]],Price_tbl[[#This Row],[Size]],Price_tbl[[#This Row],[Unit]],Price_tbl[[#This Row],[Color]]),"")</f>
        <v>Castor_Pencil_16"_Set_Black</v>
      </c>
      <c r="C259" s="5" t="s">
        <v>9</v>
      </c>
      <c r="D259" s="5" t="s">
        <v>358</v>
      </c>
      <c r="E259" s="5" t="s">
        <v>149</v>
      </c>
      <c r="F259" s="5" t="s">
        <v>359</v>
      </c>
      <c r="G259" s="5" t="s">
        <v>225</v>
      </c>
      <c r="H259" s="6"/>
    </row>
    <row r="260" spans="2:8" x14ac:dyDescent="0.35">
      <c r="B260" s="4" t="str">
        <f>IFERROR(_xlfn.TEXTJOIN("_",TRUE,Price_tbl[[#This Row],[Category]],Price_tbl[[#This Row],[Sub_category]],Price_tbl[[#This Row],[Size]],Price_tbl[[#This Row],[Unit]],Price_tbl[[#This Row],[Color]]),"")</f>
        <v>Castor_Pencil_17"_Set_Black</v>
      </c>
      <c r="C260" s="5" t="s">
        <v>9</v>
      </c>
      <c r="D260" s="5" t="s">
        <v>358</v>
      </c>
      <c r="E260" s="5" t="s">
        <v>368</v>
      </c>
      <c r="F260" s="5" t="s">
        <v>359</v>
      </c>
      <c r="G260" s="5" t="s">
        <v>225</v>
      </c>
      <c r="H260" s="6"/>
    </row>
    <row r="261" spans="2:8" x14ac:dyDescent="0.35">
      <c r="B261" s="4" t="str">
        <f>IFERROR(_xlfn.TEXTJOIN("_",TRUE,Price_tbl[[#This Row],[Category]],Price_tbl[[#This Row],[Sub_category]],Price_tbl[[#This Row],[Size]],Price_tbl[[#This Row],[Unit]],Price_tbl[[#This Row],[Color]]),"")</f>
        <v>Castor_Pencil_18"_Set_Black</v>
      </c>
      <c r="C261" s="5" t="s">
        <v>9</v>
      </c>
      <c r="D261" s="5" t="s">
        <v>358</v>
      </c>
      <c r="E261" s="5" t="s">
        <v>369</v>
      </c>
      <c r="F261" s="5" t="s">
        <v>359</v>
      </c>
      <c r="G261" s="5" t="s">
        <v>225</v>
      </c>
      <c r="H261" s="6"/>
    </row>
    <row r="262" spans="2:8" x14ac:dyDescent="0.35">
      <c r="B262" s="4" t="str">
        <f>IFERROR(_xlfn.TEXTJOIN("_",TRUE,Price_tbl[[#This Row],[Category]],Price_tbl[[#This Row],[Sub_category]],Price_tbl[[#This Row],[Size]],Price_tbl[[#This Row],[Unit]],Price_tbl[[#This Row],[Color]]),"")</f>
        <v>Castor_ three finger slant_2"_Set_Black</v>
      </c>
      <c r="C262" s="5" t="s">
        <v>9</v>
      </c>
      <c r="D262" s="5" t="s">
        <v>370</v>
      </c>
      <c r="E262" s="5" t="s">
        <v>275</v>
      </c>
      <c r="F262" s="5" t="s">
        <v>359</v>
      </c>
      <c r="G262" s="5" t="s">
        <v>225</v>
      </c>
      <c r="H262" s="6"/>
    </row>
    <row r="263" spans="2:8" x14ac:dyDescent="0.35">
      <c r="B263" s="4" t="str">
        <f>IFERROR(_xlfn.TEXTJOIN("_",TRUE,Price_tbl[[#This Row],[Category]],Price_tbl[[#This Row],[Sub_category]],Price_tbl[[#This Row],[Size]],Price_tbl[[#This Row],[Unit]],Price_tbl[[#This Row],[Color]]),"")</f>
        <v>Castor_ three finger slant_3"_Set_Black</v>
      </c>
      <c r="C263" s="5" t="s">
        <v>9</v>
      </c>
      <c r="D263" s="5" t="s">
        <v>370</v>
      </c>
      <c r="E263" s="5" t="s">
        <v>303</v>
      </c>
      <c r="F263" s="5" t="s">
        <v>359</v>
      </c>
      <c r="G263" s="5" t="s">
        <v>225</v>
      </c>
      <c r="H263" s="6"/>
    </row>
    <row r="264" spans="2:8" x14ac:dyDescent="0.35">
      <c r="B264" s="4" t="str">
        <f>IFERROR(_xlfn.TEXTJOIN("_",TRUE,Price_tbl[[#This Row],[Category]],Price_tbl[[#This Row],[Sub_category]],Price_tbl[[#This Row],[Size]],Price_tbl[[#This Row],[Unit]],Price_tbl[[#This Row],[Color]]),"")</f>
        <v>Castor_ three finger slant_4"_Set_Black</v>
      </c>
      <c r="C264" s="5" t="s">
        <v>9</v>
      </c>
      <c r="D264" s="5" t="s">
        <v>370</v>
      </c>
      <c r="E264" s="5" t="s">
        <v>360</v>
      </c>
      <c r="F264" s="5" t="s">
        <v>359</v>
      </c>
      <c r="G264" s="5" t="s">
        <v>225</v>
      </c>
      <c r="H264" s="6"/>
    </row>
    <row r="265" spans="2:8" x14ac:dyDescent="0.35">
      <c r="B265" s="4" t="str">
        <f>IFERROR(_xlfn.TEXTJOIN("_",TRUE,Price_tbl[[#This Row],[Category]],Price_tbl[[#This Row],[Sub_category]],Price_tbl[[#This Row],[Size]],Price_tbl[[#This Row],[Unit]],Price_tbl[[#This Row],[Color]]),"")</f>
        <v>Castor_ three finger slant_5"_Set_Black</v>
      </c>
      <c r="C265" s="5" t="s">
        <v>9</v>
      </c>
      <c r="D265" s="5" t="s">
        <v>370</v>
      </c>
      <c r="E265" s="5" t="s">
        <v>361</v>
      </c>
      <c r="F265" s="5" t="s">
        <v>359</v>
      </c>
      <c r="G265" s="5" t="s">
        <v>225</v>
      </c>
      <c r="H265" s="6"/>
    </row>
    <row r="266" spans="2:8" x14ac:dyDescent="0.35">
      <c r="B266" s="4" t="str">
        <f>IFERROR(_xlfn.TEXTJOIN("_",TRUE,Price_tbl[[#This Row],[Category]],Price_tbl[[#This Row],[Sub_category]],Price_tbl[[#This Row],[Size]],Price_tbl[[#This Row],[Unit]],Price_tbl[[#This Row],[Color]]),"")</f>
        <v>Castor_ three finger slant_6"_Set_Black</v>
      </c>
      <c r="C266" s="5" t="s">
        <v>9</v>
      </c>
      <c r="D266" s="5" t="s">
        <v>370</v>
      </c>
      <c r="E266" s="5" t="s">
        <v>70</v>
      </c>
      <c r="F266" s="5" t="s">
        <v>359</v>
      </c>
      <c r="G266" s="5" t="s">
        <v>225</v>
      </c>
      <c r="H266" s="6"/>
    </row>
    <row r="267" spans="2:8" x14ac:dyDescent="0.35">
      <c r="B267" s="4" t="str">
        <f>IFERROR(_xlfn.TEXTJOIN("_",TRUE,Price_tbl[[#This Row],[Category]],Price_tbl[[#This Row],[Sub_category]],Price_tbl[[#This Row],[Size]],Price_tbl[[#This Row],[Unit]],Price_tbl[[#This Row],[Color]]),"")</f>
        <v>Castor_ three finger slant_7"_Set_Black</v>
      </c>
      <c r="C267" s="5" t="s">
        <v>9</v>
      </c>
      <c r="D267" s="5" t="s">
        <v>370</v>
      </c>
      <c r="E267" s="5" t="s">
        <v>362</v>
      </c>
      <c r="F267" s="5" t="s">
        <v>359</v>
      </c>
      <c r="G267" s="5" t="s">
        <v>225</v>
      </c>
      <c r="H267" s="6"/>
    </row>
    <row r="268" spans="2:8" x14ac:dyDescent="0.35">
      <c r="B268" s="4" t="str">
        <f>IFERROR(_xlfn.TEXTJOIN("_",TRUE,Price_tbl[[#This Row],[Category]],Price_tbl[[#This Row],[Sub_category]],Price_tbl[[#This Row],[Size]],Price_tbl[[#This Row],[Unit]],Price_tbl[[#This Row],[Color]]),"")</f>
        <v>Castor_ three finger slant_8"_Set_Black</v>
      </c>
      <c r="C268" s="5" t="s">
        <v>9</v>
      </c>
      <c r="D268" s="5" t="s">
        <v>370</v>
      </c>
      <c r="E268" s="5" t="s">
        <v>363</v>
      </c>
      <c r="F268" s="5" t="s">
        <v>359</v>
      </c>
      <c r="G268" s="5" t="s">
        <v>225</v>
      </c>
      <c r="H268" s="6"/>
    </row>
    <row r="269" spans="2:8" x14ac:dyDescent="0.35">
      <c r="B269" s="4" t="str">
        <f>IFERROR(_xlfn.TEXTJOIN("_",TRUE,Price_tbl[[#This Row],[Category]],Price_tbl[[#This Row],[Sub_category]],Price_tbl[[#This Row],[Size]],Price_tbl[[#This Row],[Unit]],Price_tbl[[#This Row],[Color]]),"")</f>
        <v>Castor_ three finger straight_2"_Set_Black</v>
      </c>
      <c r="C269" s="5" t="s">
        <v>9</v>
      </c>
      <c r="D269" s="5" t="s">
        <v>371</v>
      </c>
      <c r="E269" s="5" t="s">
        <v>275</v>
      </c>
      <c r="F269" s="5" t="s">
        <v>359</v>
      </c>
      <c r="G269" s="5" t="s">
        <v>225</v>
      </c>
      <c r="H269" s="6"/>
    </row>
    <row r="270" spans="2:8" x14ac:dyDescent="0.35">
      <c r="B270" s="4" t="str">
        <f>IFERROR(_xlfn.TEXTJOIN("_",TRUE,Price_tbl[[#This Row],[Category]],Price_tbl[[#This Row],[Sub_category]],Price_tbl[[#This Row],[Size]],Price_tbl[[#This Row],[Unit]],Price_tbl[[#This Row],[Color]]),"")</f>
        <v>Castor_ three finger straight_3"_Set_Black</v>
      </c>
      <c r="C270" s="5" t="s">
        <v>9</v>
      </c>
      <c r="D270" s="5" t="s">
        <v>371</v>
      </c>
      <c r="E270" s="5" t="s">
        <v>303</v>
      </c>
      <c r="F270" s="5" t="s">
        <v>359</v>
      </c>
      <c r="G270" s="5" t="s">
        <v>225</v>
      </c>
      <c r="H270" s="6"/>
    </row>
    <row r="271" spans="2:8" x14ac:dyDescent="0.35">
      <c r="B271" s="4" t="str">
        <f>IFERROR(_xlfn.TEXTJOIN("_",TRUE,Price_tbl[[#This Row],[Category]],Price_tbl[[#This Row],[Sub_category]],Price_tbl[[#This Row],[Size]],Price_tbl[[#This Row],[Unit]],Price_tbl[[#This Row],[Color]]),"")</f>
        <v>Castor_ three finger straight_4"_Set_Black</v>
      </c>
      <c r="C271" s="5" t="s">
        <v>9</v>
      </c>
      <c r="D271" s="5" t="s">
        <v>371</v>
      </c>
      <c r="E271" s="5" t="s">
        <v>360</v>
      </c>
      <c r="F271" s="5" t="s">
        <v>359</v>
      </c>
      <c r="G271" s="5" t="s">
        <v>225</v>
      </c>
      <c r="H271" s="6">
        <v>3000</v>
      </c>
    </row>
    <row r="272" spans="2:8" x14ac:dyDescent="0.35">
      <c r="B272" s="4" t="str">
        <f>IFERROR(_xlfn.TEXTJOIN("_",TRUE,Price_tbl[[#This Row],[Category]],Price_tbl[[#This Row],[Sub_category]],Price_tbl[[#This Row],[Size]],Price_tbl[[#This Row],[Unit]],Price_tbl[[#This Row],[Color]]),"")</f>
        <v>Castor_ three finger straight_5"_Set_Black</v>
      </c>
      <c r="C272" s="5" t="s">
        <v>9</v>
      </c>
      <c r="D272" s="5" t="s">
        <v>371</v>
      </c>
      <c r="E272" s="5" t="s">
        <v>361</v>
      </c>
      <c r="F272" s="5" t="s">
        <v>359</v>
      </c>
      <c r="G272" s="5" t="s">
        <v>225</v>
      </c>
      <c r="H272" s="6"/>
    </row>
    <row r="273" spans="2:8" x14ac:dyDescent="0.35">
      <c r="B273" s="4" t="str">
        <f>IFERROR(_xlfn.TEXTJOIN("_",TRUE,Price_tbl[[#This Row],[Category]],Price_tbl[[#This Row],[Sub_category]],Price_tbl[[#This Row],[Size]],Price_tbl[[#This Row],[Unit]],Price_tbl[[#This Row],[Color]]),"")</f>
        <v>Castor_ three finger straight_6"_Set_Black</v>
      </c>
      <c r="C273" s="5" t="s">
        <v>9</v>
      </c>
      <c r="D273" s="5" t="s">
        <v>371</v>
      </c>
      <c r="E273" s="5" t="s">
        <v>70</v>
      </c>
      <c r="F273" s="5" t="s">
        <v>359</v>
      </c>
      <c r="G273" s="5" t="s">
        <v>225</v>
      </c>
      <c r="H273" s="6"/>
    </row>
    <row r="274" spans="2:8" x14ac:dyDescent="0.35">
      <c r="B274" s="4" t="str">
        <f>IFERROR(_xlfn.TEXTJOIN("_",TRUE,Price_tbl[[#This Row],[Category]],Price_tbl[[#This Row],[Sub_category]],Price_tbl[[#This Row],[Size]],Price_tbl[[#This Row],[Unit]],Price_tbl[[#This Row],[Color]]),"")</f>
        <v>Castor_ three finger straight_7"_Set_Black</v>
      </c>
      <c r="C274" s="5" t="s">
        <v>9</v>
      </c>
      <c r="D274" s="5" t="s">
        <v>371</v>
      </c>
      <c r="E274" s="5" t="s">
        <v>362</v>
      </c>
      <c r="F274" s="5" t="s">
        <v>359</v>
      </c>
      <c r="G274" s="5" t="s">
        <v>225</v>
      </c>
      <c r="H274" s="6"/>
    </row>
    <row r="275" spans="2:8" x14ac:dyDescent="0.35">
      <c r="B275" s="4" t="str">
        <f>IFERROR(_xlfn.TEXTJOIN("_",TRUE,Price_tbl[[#This Row],[Category]],Price_tbl[[#This Row],[Sub_category]],Price_tbl[[#This Row],[Size]],Price_tbl[[#This Row],[Unit]],Price_tbl[[#This Row],[Color]]),"")</f>
        <v>Castor_ three finger straight_8"_Set_Black</v>
      </c>
      <c r="C275" s="5" t="s">
        <v>9</v>
      </c>
      <c r="D275" s="5" t="s">
        <v>371</v>
      </c>
      <c r="E275" s="5" t="s">
        <v>363</v>
      </c>
      <c r="F275" s="5" t="s">
        <v>359</v>
      </c>
      <c r="G275" s="5" t="s">
        <v>225</v>
      </c>
      <c r="H275" s="6"/>
    </row>
    <row r="276" spans="2:8" x14ac:dyDescent="0.35">
      <c r="B276" s="4" t="str">
        <f>IFERROR(_xlfn.TEXTJOIN("_",TRUE,Price_tbl[[#This Row],[Category]],Price_tbl[[#This Row],[Sub_category]],Price_tbl[[#This Row],[Size]],Price_tbl[[#This Row],[Unit]],Price_tbl[[#This Row],[Color]]),"")</f>
        <v>Castor_ alluminium lshape_2"_Set_Black</v>
      </c>
      <c r="C276" s="5" t="s">
        <v>9</v>
      </c>
      <c r="D276" s="5" t="s">
        <v>373</v>
      </c>
      <c r="E276" s="5" t="s">
        <v>275</v>
      </c>
      <c r="F276" s="5" t="s">
        <v>359</v>
      </c>
      <c r="G276" s="5" t="s">
        <v>225</v>
      </c>
      <c r="H276" s="6"/>
    </row>
    <row r="277" spans="2:8" x14ac:dyDescent="0.35">
      <c r="B277" s="4" t="str">
        <f>IFERROR(_xlfn.TEXTJOIN("_",TRUE,Price_tbl[[#This Row],[Category]],Price_tbl[[#This Row],[Sub_category]],Price_tbl[[#This Row],[Size]],Price_tbl[[#This Row],[Unit]],Price_tbl[[#This Row],[Color]]),"")</f>
        <v>Castor_ alluminium lshape_3"_Set_Black</v>
      </c>
      <c r="C277" s="5" t="s">
        <v>9</v>
      </c>
      <c r="D277" s="5" t="s">
        <v>373</v>
      </c>
      <c r="E277" s="5" t="s">
        <v>303</v>
      </c>
      <c r="F277" s="5" t="s">
        <v>359</v>
      </c>
      <c r="G277" s="5" t="s">
        <v>225</v>
      </c>
      <c r="H277" s="6"/>
    </row>
    <row r="278" spans="2:8" x14ac:dyDescent="0.35">
      <c r="B278" s="4" t="str">
        <f>IFERROR(_xlfn.TEXTJOIN("_",TRUE,Price_tbl[[#This Row],[Category]],Price_tbl[[#This Row],[Sub_category]],Price_tbl[[#This Row],[Size]],Price_tbl[[#This Row],[Unit]],Price_tbl[[#This Row],[Color]]),"")</f>
        <v>Castor_ alluminium lshape_4"_Set_Black</v>
      </c>
      <c r="C278" s="5" t="s">
        <v>9</v>
      </c>
      <c r="D278" s="5" t="s">
        <v>373</v>
      </c>
      <c r="E278" s="5" t="s">
        <v>360</v>
      </c>
      <c r="F278" s="5" t="s">
        <v>359</v>
      </c>
      <c r="G278" s="5" t="s">
        <v>225</v>
      </c>
      <c r="H278" s="6"/>
    </row>
    <row r="279" spans="2:8" x14ac:dyDescent="0.35">
      <c r="B279" s="4" t="str">
        <f>IFERROR(_xlfn.TEXTJOIN("_",TRUE,Price_tbl[[#This Row],[Category]],Price_tbl[[#This Row],[Sub_category]],Price_tbl[[#This Row],[Size]],Price_tbl[[#This Row],[Unit]],Price_tbl[[#This Row],[Color]]),"")</f>
        <v>Castor_ alluminium lshape_5"_Set_Black</v>
      </c>
      <c r="C279" s="5" t="s">
        <v>9</v>
      </c>
      <c r="D279" s="5" t="s">
        <v>373</v>
      </c>
      <c r="E279" s="5" t="s">
        <v>361</v>
      </c>
      <c r="F279" s="5" t="s">
        <v>359</v>
      </c>
      <c r="G279" s="5" t="s">
        <v>225</v>
      </c>
      <c r="H279" s="6"/>
    </row>
    <row r="280" spans="2:8" x14ac:dyDescent="0.35">
      <c r="B280" s="4" t="str">
        <f>IFERROR(_xlfn.TEXTJOIN("_",TRUE,Price_tbl[[#This Row],[Category]],Price_tbl[[#This Row],[Sub_category]],Price_tbl[[#This Row],[Size]],Price_tbl[[#This Row],[Unit]],Price_tbl[[#This Row],[Color]]),"")</f>
        <v>Castor_ alluminium lshape_6"_Set_Black</v>
      </c>
      <c r="C280" s="5" t="s">
        <v>9</v>
      </c>
      <c r="D280" s="5" t="s">
        <v>373</v>
      </c>
      <c r="E280" s="5" t="s">
        <v>70</v>
      </c>
      <c r="F280" s="5" t="s">
        <v>359</v>
      </c>
      <c r="G280" s="5" t="s">
        <v>225</v>
      </c>
      <c r="H280" s="6"/>
    </row>
    <row r="281" spans="2:8" x14ac:dyDescent="0.35">
      <c r="B281" s="4" t="str">
        <f>IFERROR(_xlfn.TEXTJOIN("_",TRUE,Price_tbl[[#This Row],[Category]],Price_tbl[[#This Row],[Sub_category]],Price_tbl[[#This Row],[Size]],Price_tbl[[#This Row],[Unit]],Price_tbl[[#This Row],[Color]]),"")</f>
        <v>Edge_tape_matte_Yard_Offwhite</v>
      </c>
      <c r="C281" s="5" t="s">
        <v>5</v>
      </c>
      <c r="D281" s="5" t="s">
        <v>213</v>
      </c>
      <c r="E281" s="5"/>
      <c r="F281" s="5" t="s">
        <v>214</v>
      </c>
      <c r="G281" s="5" t="s">
        <v>236</v>
      </c>
      <c r="H281" s="6">
        <v>100</v>
      </c>
    </row>
    <row r="282" spans="2:8" x14ac:dyDescent="0.35">
      <c r="B282" s="4" t="str">
        <f>IFERROR(_xlfn.TEXTJOIN("_",TRUE,Price_tbl[[#This Row],[Category]],Price_tbl[[#This Row],[Sub_category]],Price_tbl[[#This Row],[Size]],Price_tbl[[#This Row],[Unit]],Price_tbl[[#This Row],[Color]]),"")</f>
        <v>Edge_tape_matte_Yard_Light grey</v>
      </c>
      <c r="C282" s="5" t="s">
        <v>5</v>
      </c>
      <c r="D282" s="5" t="s">
        <v>213</v>
      </c>
      <c r="E282" s="5"/>
      <c r="F282" s="5" t="s">
        <v>214</v>
      </c>
      <c r="G282" s="5" t="s">
        <v>460</v>
      </c>
      <c r="H282" s="6">
        <v>100</v>
      </c>
    </row>
    <row r="283" spans="2:8" x14ac:dyDescent="0.35">
      <c r="B283" s="4" t="str">
        <f>IFERROR(_xlfn.TEXTJOIN("_",TRUE,Price_tbl[[#This Row],[Category]],Price_tbl[[#This Row],[Sub_category]],Price_tbl[[#This Row],[Size]],Price_tbl[[#This Row],[Unit]],Price_tbl[[#This Row],[Color]]),"")</f>
        <v>Edge_tape_matte_Yard_Dark grey</v>
      </c>
      <c r="C283" s="5" t="s">
        <v>5</v>
      </c>
      <c r="D283" s="5" t="s">
        <v>213</v>
      </c>
      <c r="E283" s="5"/>
      <c r="F283" s="5" t="s">
        <v>214</v>
      </c>
      <c r="G283" s="5" t="s">
        <v>461</v>
      </c>
      <c r="H283" s="6">
        <v>100</v>
      </c>
    </row>
    <row r="284" spans="2:8" x14ac:dyDescent="0.35">
      <c r="B284" s="4" t="str">
        <f>IFERROR(_xlfn.TEXTJOIN("_",TRUE,Price_tbl[[#This Row],[Category]],Price_tbl[[#This Row],[Sub_category]],Price_tbl[[#This Row],[Size]],Price_tbl[[#This Row],[Unit]],Price_tbl[[#This Row],[Color]]),"")</f>
        <v>Edge_tape_matte_Yard_Cappuccino</v>
      </c>
      <c r="C284" s="5" t="s">
        <v>5</v>
      </c>
      <c r="D284" s="5" t="s">
        <v>213</v>
      </c>
      <c r="E284" s="5"/>
      <c r="F284" s="5" t="s">
        <v>214</v>
      </c>
      <c r="G284" s="5" t="s">
        <v>462</v>
      </c>
      <c r="H284" s="6">
        <v>100</v>
      </c>
    </row>
    <row r="285" spans="2:8" x14ac:dyDescent="0.35">
      <c r="B285" s="4" t="str">
        <f>IFERROR(_xlfn.TEXTJOIN("_",TRUE,Price_tbl[[#This Row],[Category]],Price_tbl[[#This Row],[Sub_category]],Price_tbl[[#This Row],[Size]],Price_tbl[[#This Row],[Unit]],Price_tbl[[#This Row],[Color]]),"")</f>
        <v>Edge_tape_gloss_Yard_Dark grey</v>
      </c>
      <c r="C285" s="5" t="s">
        <v>5</v>
      </c>
      <c r="D285" s="5" t="s">
        <v>249</v>
      </c>
      <c r="E285" s="5"/>
      <c r="F285" s="5" t="s">
        <v>214</v>
      </c>
      <c r="G285" s="5" t="s">
        <v>461</v>
      </c>
      <c r="H285" s="6">
        <v>100</v>
      </c>
    </row>
    <row r="286" spans="2:8" x14ac:dyDescent="0.35">
      <c r="B286" s="4" t="str">
        <f>IFERROR(_xlfn.TEXTJOIN("_",TRUE,Price_tbl[[#This Row],[Category]],Price_tbl[[#This Row],[Sub_category]],Price_tbl[[#This Row],[Size]],Price_tbl[[#This Row],[Unit]],Price_tbl[[#This Row],[Color]]),"")</f>
        <v>Edge_tape_matte_Yard_Cida</v>
      </c>
      <c r="C286" s="5" t="s">
        <v>5</v>
      </c>
      <c r="D286" s="5" t="s">
        <v>213</v>
      </c>
      <c r="E286" s="5"/>
      <c r="F286" s="5" t="s">
        <v>214</v>
      </c>
      <c r="G286" s="5" t="s">
        <v>463</v>
      </c>
      <c r="H286" s="6">
        <v>100</v>
      </c>
    </row>
    <row r="287" spans="2:8" x14ac:dyDescent="0.35">
      <c r="B287" s="4" t="str">
        <f>IFERROR(_xlfn.TEXTJOIN("_",TRUE,Price_tbl[[#This Row],[Category]],Price_tbl[[#This Row],[Sub_category]],Price_tbl[[#This Row],[Size]],Price_tbl[[#This Row],[Unit]],Price_tbl[[#This Row],[Color]]),"")</f>
        <v>Castor_alluminium_2"_Set_Silver</v>
      </c>
      <c r="C287" s="5" t="s">
        <v>9</v>
      </c>
      <c r="D287" s="5" t="s">
        <v>464</v>
      </c>
      <c r="E287" s="5" t="s">
        <v>275</v>
      </c>
      <c r="F287" s="5" t="s">
        <v>359</v>
      </c>
      <c r="G287" s="5" t="s">
        <v>434</v>
      </c>
      <c r="H287" s="6"/>
    </row>
    <row r="288" spans="2:8" x14ac:dyDescent="0.35">
      <c r="B288" s="4" t="str">
        <f>IFERROR(_xlfn.TEXTJOIN("_",TRUE,Price_tbl[[#This Row],[Category]],Price_tbl[[#This Row],[Sub_category]],Price_tbl[[#This Row],[Size]],Price_tbl[[#This Row],[Unit]],Price_tbl[[#This Row],[Color]]),"")</f>
        <v>Castor_alluminium_3"_Set_Silver</v>
      </c>
      <c r="C288" s="5" t="s">
        <v>9</v>
      </c>
      <c r="D288" s="5" t="s">
        <v>464</v>
      </c>
      <c r="E288" s="5" t="s">
        <v>303</v>
      </c>
      <c r="F288" s="5" t="s">
        <v>359</v>
      </c>
      <c r="G288" s="5" t="s">
        <v>434</v>
      </c>
      <c r="H288" s="6"/>
    </row>
    <row r="289" spans="2:8" x14ac:dyDescent="0.35">
      <c r="B289" s="4" t="str">
        <f>IFERROR(_xlfn.TEXTJOIN("_",TRUE,Price_tbl[[#This Row],[Category]],Price_tbl[[#This Row],[Sub_category]],Price_tbl[[#This Row],[Size]],Price_tbl[[#This Row],[Unit]],Price_tbl[[#This Row],[Color]]),"")</f>
        <v>Castor_alluminium_4"_Set_Silver</v>
      </c>
      <c r="C289" s="5" t="s">
        <v>9</v>
      </c>
      <c r="D289" s="5" t="s">
        <v>464</v>
      </c>
      <c r="E289" s="5" t="s">
        <v>360</v>
      </c>
      <c r="F289" s="5" t="s">
        <v>359</v>
      </c>
      <c r="G289" s="5" t="s">
        <v>434</v>
      </c>
      <c r="H289" s="6"/>
    </row>
    <row r="290" spans="2:8" x14ac:dyDescent="0.35">
      <c r="B290" s="4" t="str">
        <f>IFERROR(_xlfn.TEXTJOIN("_",TRUE,Price_tbl[[#This Row],[Category]],Price_tbl[[#This Row],[Sub_category]],Price_tbl[[#This Row],[Size]],Price_tbl[[#This Row],[Unit]],Price_tbl[[#This Row],[Color]]),"")</f>
        <v>Others_Tv hanger lightweight_piece_Black</v>
      </c>
      <c r="C290" s="5" t="s">
        <v>170</v>
      </c>
      <c r="D290" s="5" t="s">
        <v>465</v>
      </c>
      <c r="E290" s="5"/>
      <c r="F290" s="5" t="s">
        <v>466</v>
      </c>
      <c r="G290" s="5" t="s">
        <v>225</v>
      </c>
      <c r="H290" s="6"/>
    </row>
    <row r="291" spans="2:8" x14ac:dyDescent="0.35">
      <c r="B291" s="4" t="str">
        <f>IFERROR(_xlfn.TEXTJOIN("_",TRUE,Price_tbl[[#This Row],[Category]],Price_tbl[[#This Row],[Sub_category]],Price_tbl[[#This Row],[Size]],Price_tbl[[#This Row],[Unit]],Price_tbl[[#This Row],[Color]]),"")</f>
        <v>Fabric_Thick Velvet_Yard_Grey</v>
      </c>
      <c r="C291" s="5" t="s">
        <v>8</v>
      </c>
      <c r="D291" s="8" t="s">
        <v>351</v>
      </c>
      <c r="E291" s="5"/>
      <c r="F291" s="5" t="s">
        <v>214</v>
      </c>
      <c r="G291" s="5" t="s">
        <v>467</v>
      </c>
      <c r="H291" s="6"/>
    </row>
    <row r="292" spans="2:8" x14ac:dyDescent="0.35">
      <c r="B292" s="4" t="str">
        <f>IFERROR(_xlfn.TEXTJOIN("_",TRUE,Price_tbl[[#This Row],[Category]],Price_tbl[[#This Row],[Sub_category]],Price_tbl[[#This Row],[Size]],Price_tbl[[#This Row],[Unit]],Price_tbl[[#This Row],[Color]]),"")</f>
        <v>Screw_Black_5/8"_Pack_Black</v>
      </c>
      <c r="C292" s="5" t="s">
        <v>7</v>
      </c>
      <c r="D292" s="5" t="s">
        <v>225</v>
      </c>
      <c r="E292" s="9" t="s">
        <v>468</v>
      </c>
      <c r="F292" s="5" t="s">
        <v>307</v>
      </c>
      <c r="G292" s="5" t="s">
        <v>225</v>
      </c>
      <c r="H292" s="6">
        <v>1700</v>
      </c>
    </row>
    <row r="293" spans="2:8" x14ac:dyDescent="0.35">
      <c r="B293" s="4" t="str">
        <f>IFERROR(_xlfn.TEXTJOIN("_",TRUE,Price_tbl[[#This Row],[Category]],Price_tbl[[#This Row],[Sub_category]],Price_tbl[[#This Row],[Size]],Price_tbl[[#This Row],[Unit]],Price_tbl[[#This Row],[Color]]),"")</f>
        <v>Nail_Tornado_2.5"_Pack</v>
      </c>
      <c r="C293" s="5" t="s">
        <v>6</v>
      </c>
      <c r="D293" s="5" t="s">
        <v>414</v>
      </c>
      <c r="E293" s="5" t="s">
        <v>280</v>
      </c>
      <c r="F293" s="5" t="s">
        <v>307</v>
      </c>
      <c r="G293" s="5"/>
      <c r="H293" s="6">
        <v>800</v>
      </c>
    </row>
    <row r="294" spans="2:8" x14ac:dyDescent="0.35">
      <c r="B294" s="4" t="str">
        <f>IFERROR(_xlfn.TEXTJOIN("_",TRUE,Price_tbl[[#This Row],[Category]],Price_tbl[[#This Row],[Sub_category]],Price_tbl[[#This Row],[Size]],Price_tbl[[#This Row],[Unit]],Price_tbl[[#This Row],[Color]]),"")</f>
        <v>Handle_pipe_6"_Piece_Silver</v>
      </c>
      <c r="C294" s="5" t="s">
        <v>3</v>
      </c>
      <c r="D294" s="5" t="s">
        <v>69</v>
      </c>
      <c r="E294" s="5" t="s">
        <v>70</v>
      </c>
      <c r="F294" s="5" t="s">
        <v>49</v>
      </c>
      <c r="G294" s="5" t="s">
        <v>434</v>
      </c>
      <c r="H294" s="6">
        <v>300</v>
      </c>
    </row>
    <row r="295" spans="2:8" x14ac:dyDescent="0.35">
      <c r="B295" s="4" t="str">
        <f>IFERROR(_xlfn.TEXTJOIN("_",TRUE,Price_tbl[[#This Row],[Category]],Price_tbl[[#This Row],[Sub_category]],Price_tbl[[#This Row],[Size]],Price_tbl[[#This Row],[Unit]],Price_tbl[[#This Row],[Color]]),"")</f>
        <v>Pole_Round_16mm_Piece</v>
      </c>
      <c r="C295" s="5" t="s">
        <v>168</v>
      </c>
      <c r="D295" s="5" t="s">
        <v>469</v>
      </c>
      <c r="E295" s="5" t="s">
        <v>470</v>
      </c>
      <c r="F295" s="5" t="s">
        <v>49</v>
      </c>
      <c r="G295" s="5"/>
      <c r="H295" s="6">
        <v>1800</v>
      </c>
    </row>
    <row r="296" spans="2:8" x14ac:dyDescent="0.35">
      <c r="B296" s="4" t="str">
        <f>IFERROR(_xlfn.TEXTJOIN("_",TRUE,Price_tbl[[#This Row],[Category]],Price_tbl[[#This Row],[Sub_category]],Price_tbl[[#This Row],[Size]],Price_tbl[[#This Row],[Unit]],Price_tbl[[#This Row],[Color]]),"")</f>
        <v>Pole_Flat_Piece</v>
      </c>
      <c r="C296" s="5" t="s">
        <v>168</v>
      </c>
      <c r="D296" s="5" t="s">
        <v>471</v>
      </c>
      <c r="E296" s="5"/>
      <c r="F296" s="5" t="s">
        <v>49</v>
      </c>
      <c r="G296" s="5"/>
      <c r="H296" s="6">
        <v>3000</v>
      </c>
    </row>
    <row r="297" spans="2:8" x14ac:dyDescent="0.35">
      <c r="B297" s="4" t="str">
        <f>IFERROR(_xlfn.TEXTJOIN("_",TRUE,Price_tbl[[#This Row],[Category]],Price_tbl[[#This Row],[Sub_category]],Price_tbl[[#This Row],[Size]],Price_tbl[[#This Row],[Unit]],Price_tbl[[#This Row],[Color]]),"")</f>
        <v>Pole_flat Hook_Pair</v>
      </c>
      <c r="C297" s="5" t="s">
        <v>168</v>
      </c>
      <c r="D297" s="5" t="s">
        <v>472</v>
      </c>
      <c r="E297" s="5"/>
      <c r="F297" s="5" t="s">
        <v>109</v>
      </c>
      <c r="G297" s="5"/>
      <c r="H297" s="6">
        <v>300</v>
      </c>
    </row>
    <row r="298" spans="2:8" x14ac:dyDescent="0.35">
      <c r="B298" s="4" t="str">
        <f>IFERROR(_xlfn.TEXTJOIN("_",TRUE,Price_tbl[[#This Row],[Category]],Price_tbl[[#This Row],[Sub_category]],Price_tbl[[#This Row],[Size]],Price_tbl[[#This Row],[Unit]],Price_tbl[[#This Row],[Color]]),"")</f>
        <v>Pole_Round Hook_16mm_Pair</v>
      </c>
      <c r="C298" s="5" t="s">
        <v>168</v>
      </c>
      <c r="D298" s="5" t="s">
        <v>473</v>
      </c>
      <c r="E298" s="5" t="s">
        <v>470</v>
      </c>
      <c r="F298" s="5" t="s">
        <v>109</v>
      </c>
      <c r="G298" s="5"/>
      <c r="H298" s="6">
        <v>250</v>
      </c>
    </row>
    <row r="299" spans="2:8" x14ac:dyDescent="0.35">
      <c r="B299" s="4" t="str">
        <f>IFERROR(_xlfn.TEXTJOIN("_",TRUE,Price_tbl[[#This Row],[Category]],Price_tbl[[#This Row],[Sub_category]],Price_tbl[[#This Row],[Size]],Price_tbl[[#This Row],[Unit]],Price_tbl[[#This Row],[Color]]),"")</f>
        <v>Pole_Hook_25mm_Pair</v>
      </c>
      <c r="C299" s="5" t="s">
        <v>168</v>
      </c>
      <c r="D299" s="5" t="s">
        <v>167</v>
      </c>
      <c r="E299" s="5" t="s">
        <v>474</v>
      </c>
      <c r="F299" s="5" t="s">
        <v>109</v>
      </c>
      <c r="G299" s="5"/>
      <c r="H299" s="6">
        <v>350</v>
      </c>
    </row>
    <row r="300" spans="2:8" x14ac:dyDescent="0.35">
      <c r="B300" s="4" t="str">
        <f>IFERROR(_xlfn.TEXTJOIN("_",TRUE,Price_tbl[[#This Row],[Category]],Price_tbl[[#This Row],[Sub_category]],Price_tbl[[#This Row],[Size]],Price_tbl[[#This Row],[Unit]],Price_tbl[[#This Row],[Color]]),"")</f>
        <v>Others_screw bit_Piece</v>
      </c>
      <c r="C300" s="5" t="s">
        <v>170</v>
      </c>
      <c r="D300" s="5" t="s">
        <v>475</v>
      </c>
      <c r="E300" s="5"/>
      <c r="F300" s="5" t="s">
        <v>49</v>
      </c>
      <c r="G300" s="5"/>
      <c r="H300" s="6">
        <v>1000</v>
      </c>
    </row>
    <row r="301" spans="2:8" x14ac:dyDescent="0.35">
      <c r="B301" s="4" t="str">
        <f>IFERROR(_xlfn.TEXTJOIN("_",TRUE,Price_tbl[[#This Row],[Category]],Price_tbl[[#This Row],[Sub_category]],Price_tbl[[#This Row],[Size]],Price_tbl[[#This Row],[Unit]],Price_tbl[[#This Row],[Color]]),"")</f>
        <v>Others_Door pusher plastic_Pair</v>
      </c>
      <c r="C301" s="5" t="s">
        <v>170</v>
      </c>
      <c r="D301" s="5" t="s">
        <v>476</v>
      </c>
      <c r="E301" s="5"/>
      <c r="F301" s="5" t="s">
        <v>109</v>
      </c>
      <c r="G301" s="5"/>
      <c r="H301" s="6">
        <v>500</v>
      </c>
    </row>
    <row r="302" spans="2:8" x14ac:dyDescent="0.35">
      <c r="B302" s="4" t="str">
        <f>IFERROR(_xlfn.TEXTJOIN("_",TRUE,Price_tbl[[#This Row],[Category]],Price_tbl[[#This Row],[Sub_category]],Price_tbl[[#This Row],[Size]],Price_tbl[[#This Row],[Unit]],Price_tbl[[#This Row],[Color]]),"")</f>
        <v>Others_Door Pusher iron_Pair</v>
      </c>
      <c r="C302" s="5" t="s">
        <v>170</v>
      </c>
      <c r="D302" s="5" t="s">
        <v>477</v>
      </c>
      <c r="E302" s="5"/>
      <c r="F302" s="5" t="s">
        <v>109</v>
      </c>
      <c r="G302" s="5"/>
      <c r="H302" s="6">
        <v>1000</v>
      </c>
    </row>
    <row r="303" spans="2:8" x14ac:dyDescent="0.35">
      <c r="B303" s="4" t="str">
        <f>IFERROR(_xlfn.TEXTJOIN("_",TRUE,Price_tbl[[#This Row],[Category]],Price_tbl[[#This Row],[Sub_category]],Price_tbl[[#This Row],[Size]],Price_tbl[[#This Row],[Unit]],Price_tbl[[#This Row],[Color]]),"")</f>
        <v>Castor_Pencil_20"_Set_Gold</v>
      </c>
      <c r="C303" s="5" t="s">
        <v>9</v>
      </c>
      <c r="D303" s="5" t="s">
        <v>358</v>
      </c>
      <c r="E303" s="5" t="s">
        <v>478</v>
      </c>
      <c r="F303" s="5" t="s">
        <v>359</v>
      </c>
      <c r="G303" s="5" t="s">
        <v>71</v>
      </c>
      <c r="H303" s="6">
        <v>23500</v>
      </c>
    </row>
    <row r="304" spans="2:8" x14ac:dyDescent="0.35">
      <c r="B304" s="4" t="str">
        <f>IFERROR(_xlfn.TEXTJOIN("_",TRUE,Price_tbl[[#This Row],[Category]],Price_tbl[[#This Row],[Sub_category]],Price_tbl[[#This Row],[Size]],Price_tbl[[#This Row],[Unit]],Price_tbl[[#This Row],[Color]]),"")</f>
        <v>Wood_Melina_1"x10"x144"_Piece</v>
      </c>
      <c r="C304" s="5" t="s">
        <v>2</v>
      </c>
      <c r="D304" s="5" t="s">
        <v>479</v>
      </c>
      <c r="E304" s="5" t="s">
        <v>480</v>
      </c>
      <c r="F304" s="5" t="s">
        <v>49</v>
      </c>
      <c r="G304" s="5"/>
      <c r="H304" s="6">
        <v>9000</v>
      </c>
    </row>
    <row r="305" spans="2:8" x14ac:dyDescent="0.35">
      <c r="B305" s="4" t="str">
        <f>IFERROR(_xlfn.TEXTJOIN("_",TRUE,Price_tbl[[#This Row],[Category]],Price_tbl[[#This Row],[Sub_category]],Price_tbl[[#This Row],[Size]],Price_tbl[[#This Row],[Unit]],Price_tbl[[#This Row],[Color]]),"")</f>
        <v>Wood_Iroko_1"x10"x144"_Piece</v>
      </c>
      <c r="C305" s="5" t="s">
        <v>2</v>
      </c>
      <c r="D305" s="5" t="s">
        <v>481</v>
      </c>
      <c r="E305" s="5" t="s">
        <v>480</v>
      </c>
      <c r="F305" s="5" t="s">
        <v>49</v>
      </c>
      <c r="G305" s="5"/>
      <c r="H305" s="6">
        <v>12000</v>
      </c>
    </row>
    <row r="306" spans="2:8" x14ac:dyDescent="0.35">
      <c r="B306" s="4" t="str">
        <f>IFERROR(_xlfn.TEXTJOIN("_",TRUE,Price_tbl[[#This Row],[Category]],Price_tbl[[#This Row],[Sub_category]],Price_tbl[[#This Row],[Size]],Price_tbl[[#This Row],[Unit]],Price_tbl[[#This Row],[Color]]),"")</f>
        <v>Board_Back cover_Piece</v>
      </c>
      <c r="C306" s="5" t="s">
        <v>0</v>
      </c>
      <c r="D306" s="5" t="s">
        <v>482</v>
      </c>
      <c r="E306" s="5"/>
      <c r="F306" s="5" t="s">
        <v>49</v>
      </c>
      <c r="G306" s="5"/>
      <c r="H306" s="10"/>
    </row>
  </sheetData>
  <sheetProtection formatColumns="0" formatRows="0"/>
  <dataValidations count="2">
    <dataValidation type="list" allowBlank="1" showInputMessage="1" showErrorMessage="1" sqref="C3:C306" xr:uid="{92E49525-F5E8-4309-8342-933ACCB035C1}">
      <formula1>mat_dd</formula1>
    </dataValidation>
    <dataValidation type="list" allowBlank="1" showInputMessage="1" showErrorMessage="1" sqref="D3:D306" xr:uid="{75315029-7718-4020-A519-E1539326FB9D}">
      <formula1>type_dd</formula1>
    </dataValidation>
  </dataValidations>
  <pageMargins left="0.7" right="0.7" top="0.75" bottom="0.75" header="0.3" footer="0.3"/>
  <tableParts count="3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26</vt:i4>
      </vt:variant>
    </vt:vector>
  </HeadingPairs>
  <TitlesOfParts>
    <vt:vector size="27" baseType="lpstr">
      <vt:lpstr>Database</vt:lpstr>
      <vt:lpstr>Adhensive</vt:lpstr>
      <vt:lpstr>Angle_bracket</vt:lpstr>
      <vt:lpstr>board</vt:lpstr>
      <vt:lpstr>Cabinet_hinges</vt:lpstr>
      <vt:lpstr>Castor</vt:lpstr>
      <vt:lpstr>cat</vt:lpstr>
      <vt:lpstr>Chrome</vt:lpstr>
      <vt:lpstr>Cushion</vt:lpstr>
      <vt:lpstr>desc</vt:lpstr>
      <vt:lpstr>Door_Hinges</vt:lpstr>
      <vt:lpstr>Drawer_Runner</vt:lpstr>
      <vt:lpstr>Edge_tape</vt:lpstr>
      <vt:lpstr>Fabric</vt:lpstr>
      <vt:lpstr>Handle</vt:lpstr>
      <vt:lpstr>Hook</vt:lpstr>
      <vt:lpstr>Lightening</vt:lpstr>
      <vt:lpstr>logistics</vt:lpstr>
      <vt:lpstr>Nail</vt:lpstr>
      <vt:lpstr>other_cost</vt:lpstr>
      <vt:lpstr>Others</vt:lpstr>
      <vt:lpstr>Paint</vt:lpstr>
      <vt:lpstr>Pin</vt:lpstr>
      <vt:lpstr>Pole</vt:lpstr>
      <vt:lpstr>Screw</vt:lpstr>
      <vt:lpstr>wood</vt:lpstr>
      <vt:lpstr>Workmanship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Adeyemi Abodunrin</dc:creator>
  <cp:lastModifiedBy>Adeyemi Abodunrin</cp:lastModifiedBy>
  <dcterms:created xsi:type="dcterms:W3CDTF">2026-01-28T17:45:19Z</dcterms:created>
  <dcterms:modified xsi:type="dcterms:W3CDTF">2026-01-28T17:47:12Z</dcterms:modified>
</cp:coreProperties>
</file>